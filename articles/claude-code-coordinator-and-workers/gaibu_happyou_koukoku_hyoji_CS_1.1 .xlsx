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drawings/drawing3.xml" ContentType="application/vnd.openxmlformats-officedocument.drawing+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166925"/>
  <mc:AlternateContent xmlns:mc="http://schemas.openxmlformats.org/markup-compatibility/2006">
    <mc:Choice Requires="x15">
      <x15ac:absPath xmlns:x15ac="http://schemas.microsoft.com/office/spreadsheetml/2010/11/ac" url="/Users/ueha-j/work/zenn-articles/articles/claude-code-userpromptsubmit-timestamp-hook/"/>
    </mc:Choice>
  </mc:AlternateContent>
  <xr:revisionPtr revIDLastSave="0" documentId="13_ncr:1_{3E71C67A-F8C9-5342-A69F-3B6D90510ACB}" xr6:coauthVersionLast="47" xr6:coauthVersionMax="47" xr10:uidLastSave="{00000000-0000-0000-0000-000000000000}"/>
  <bookViews>
    <workbookView xWindow="35640" yWindow="480" windowWidth="30240" windowHeight="18980" tabRatio="818" activeTab="2" xr2:uid="{8C4D4AAA-71C7-4C9A-A154-00EE10C63606}"/>
  </bookViews>
  <sheets>
    <sheet name="【重要】始めにお読みください" sheetId="6" r:id="rId1"/>
    <sheet name="(A)広告・宣伝用" sheetId="8" r:id="rId2"/>
    <sheet name="(B)論文・書籍・技術解説用 _総括表" sheetId="10" r:id="rId3"/>
    <sheet name="(B)論文・書籍・技術解説用_個別確認" sheetId="11" r:id="rId4"/>
    <sheet name="(A)(B)共通" sheetId="5" r:id="rId5"/>
    <sheet name="改版履歴" sheetId="12" r:id="rId6"/>
  </sheets>
  <externalReferences>
    <externalReference r:id="rId7"/>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4" i="11" l="1"/>
  <c r="C73" i="10" s="1"/>
  <c r="E87" i="11"/>
  <c r="A87" i="11"/>
  <c r="E84" i="11"/>
  <c r="A84" i="11"/>
  <c r="E75" i="11"/>
  <c r="A75" i="11"/>
  <c r="C69" i="10" s="1"/>
  <c r="E64" i="11"/>
  <c r="E67" i="10" s="1"/>
  <c r="A64" i="11"/>
  <c r="C67" i="10" s="1"/>
  <c r="E60" i="11"/>
  <c r="A60" i="11"/>
  <c r="E56" i="11"/>
  <c r="A56" i="11"/>
  <c r="E51" i="11"/>
  <c r="A51" i="11"/>
  <c r="E36" i="11"/>
  <c r="A36" i="11"/>
  <c r="E29" i="11"/>
  <c r="A29" i="11"/>
  <c r="E22" i="11"/>
  <c r="E55" i="10" s="1"/>
  <c r="A22" i="11"/>
  <c r="C55" i="10" s="1"/>
  <c r="E19" i="11"/>
  <c r="E54" i="10" s="1"/>
  <c r="A19" i="11"/>
  <c r="C54" i="10" s="1"/>
  <c r="E12" i="11"/>
  <c r="E52" i="10" s="1"/>
  <c r="A12" i="11"/>
  <c r="E9" i="11"/>
  <c r="E51" i="10" s="1"/>
  <c r="A9" i="11"/>
  <c r="C51" i="10" s="1"/>
  <c r="E64" i="10"/>
  <c r="E72" i="10" l="1"/>
  <c r="C72" i="10"/>
  <c r="E71" i="10"/>
  <c r="C71" i="10"/>
  <c r="E69" i="10"/>
  <c r="C66" i="10"/>
  <c r="E66" i="10"/>
  <c r="E65" i="10"/>
  <c r="C65" i="10"/>
  <c r="E63" i="10"/>
  <c r="C63" i="10"/>
  <c r="C59" i="10"/>
  <c r="A44" i="11"/>
  <c r="C61" i="10" s="1"/>
  <c r="A40" i="11"/>
  <c r="C60" i="10" s="1"/>
  <c r="E59" i="10"/>
  <c r="E44" i="11"/>
  <c r="E61" i="10" s="1"/>
  <c r="E40" i="11"/>
  <c r="E60" i="10" s="1"/>
  <c r="E57" i="10"/>
  <c r="C57" i="10"/>
  <c r="C52" i="10"/>
</calcChain>
</file>

<file path=xl/sharedStrings.xml><?xml version="1.0" encoding="utf-8"?>
<sst xmlns="http://schemas.openxmlformats.org/spreadsheetml/2006/main" count="559" uniqueCount="401">
  <si>
    <t>外部発表_広告表示チェックシート</t>
  </si>
  <si>
    <t>Ver.1.1 (2025/11/13)</t>
    <phoneticPr fontId="2"/>
  </si>
  <si>
    <t>外部発表の種別※</t>
    <rPh sb="0" eb="4">
      <t>ガイブハッピョウ</t>
    </rPh>
    <rPh sb="5" eb="7">
      <t>シュベツ</t>
    </rPh>
    <phoneticPr fontId="2"/>
  </si>
  <si>
    <t>使用するチェックシート</t>
    <rPh sb="0" eb="2">
      <t>シヨウ</t>
    </rPh>
    <phoneticPr fontId="2"/>
  </si>
  <si>
    <t>(A)(B)どちらをチェックしたか”〇”を付けて下さい</t>
    <rPh sb="21" eb="22">
      <t>ツ</t>
    </rPh>
    <rPh sb="24" eb="25">
      <t>クダ</t>
    </rPh>
    <phoneticPr fontId="2"/>
  </si>
  <si>
    <t>(A)</t>
    <phoneticPr fontId="2"/>
  </si>
  <si>
    <t>報道発表、TVCM、ラジオCM、新聞広告、雑誌広告、Web/SNS広告、チラシ/パンフレット、OOH（ポスター/交通広告/看板） 、展示会出展用広告</t>
    <phoneticPr fontId="2"/>
  </si>
  <si>
    <t>「広告・宣伝用」チェックシート
「共通」チェックシート</t>
    <rPh sb="1" eb="3">
      <t>コウコク</t>
    </rPh>
    <rPh sb="4" eb="7">
      <t>センデンヨウ</t>
    </rPh>
    <rPh sb="17" eb="19">
      <t>キョウツウ</t>
    </rPh>
    <phoneticPr fontId="2"/>
  </si>
  <si>
    <t>　</t>
  </si>
  <si>
    <t>(B)</t>
    <phoneticPr fontId="2"/>
  </si>
  <si>
    <t>論文、技術投稿、出版、学会講演、技術解説（注）
　（注）イベント・セミナー、WEB上での発表含</t>
    <phoneticPr fontId="2"/>
  </si>
  <si>
    <t>「論文・書籍・技術解説用 _総括表」チェックシート
「論文・書籍・技術解説用_個別確認」チェックシート
「共通」チェックシート</t>
    <rPh sb="35" eb="37">
      <t>カイセツ</t>
    </rPh>
    <phoneticPr fontId="2"/>
  </si>
  <si>
    <t>※媒体を問いません（紙、WEB、HP、DVD等）</t>
    <phoneticPr fontId="2"/>
  </si>
  <si>
    <t>問合せ先：外部発表_広告表示チェックシート事前照会</t>
    <rPh sb="0" eb="2">
      <t>トイアワ</t>
    </rPh>
    <rPh sb="3" eb="4">
      <t>サキ</t>
    </rPh>
    <phoneticPr fontId="2"/>
  </si>
  <si>
    <t>（Form形式）</t>
    <rPh sb="5" eb="7">
      <t>ケイシキ</t>
    </rPh>
    <phoneticPr fontId="2"/>
  </si>
  <si>
    <t>外部発表_広告表示チェックシート（広告・宣伝用）</t>
    <rPh sb="0" eb="4">
      <t>ガイブハッピョウ</t>
    </rPh>
    <rPh sb="5" eb="9">
      <t>コウコクヒョウジ</t>
    </rPh>
    <rPh sb="17" eb="19">
      <t>コウコク</t>
    </rPh>
    <rPh sb="20" eb="22">
      <t>センデン</t>
    </rPh>
    <rPh sb="22" eb="23">
      <t>ヨウ</t>
    </rPh>
    <phoneticPr fontId="2"/>
  </si>
  <si>
    <t>広報部門、営業推進部門、知財・輸出部門</t>
    <rPh sb="2" eb="4">
      <t>ブモン</t>
    </rPh>
    <rPh sb="5" eb="9">
      <t>エイギョウスイシン</t>
    </rPh>
    <rPh sb="9" eb="11">
      <t>ブモン</t>
    </rPh>
    <rPh sb="12" eb="14">
      <t>チザイ</t>
    </rPh>
    <rPh sb="15" eb="17">
      <t>ユシュツ</t>
    </rPh>
    <rPh sb="17" eb="19">
      <t>ブモン</t>
    </rPh>
    <phoneticPr fontId="3"/>
  </si>
  <si>
    <t>基本情報</t>
    <rPh sb="0" eb="4">
      <t>キホンジョウホウ</t>
    </rPh>
    <phoneticPr fontId="2"/>
  </si>
  <si>
    <t>施策名</t>
    <rPh sb="0" eb="3">
      <t>シサクメイ</t>
    </rPh>
    <phoneticPr fontId="2"/>
  </si>
  <si>
    <t>NTT</t>
    <phoneticPr fontId="2"/>
  </si>
  <si>
    <t>施策主管会社</t>
    <rPh sb="0" eb="4">
      <t>シサクシュカン</t>
    </rPh>
    <rPh sb="4" eb="6">
      <t>ガイシャ</t>
    </rPh>
    <phoneticPr fontId="2"/>
  </si>
  <si>
    <t>NTTグリーン＆フード</t>
    <phoneticPr fontId="2"/>
  </si>
  <si>
    <t>施策主管組織</t>
    <rPh sb="0" eb="2">
      <t>シサク</t>
    </rPh>
    <rPh sb="2" eb="4">
      <t>シュカン</t>
    </rPh>
    <rPh sb="4" eb="6">
      <t>ソシキ</t>
    </rPh>
    <phoneticPr fontId="2"/>
  </si>
  <si>
    <t>NTTソノリティ</t>
    <phoneticPr fontId="2"/>
  </si>
  <si>
    <t>原稿作成者
発表者</t>
    <rPh sb="0" eb="2">
      <t>ゲンコウ</t>
    </rPh>
    <rPh sb="2" eb="5">
      <t>サクセイシャ</t>
    </rPh>
    <rPh sb="6" eb="9">
      <t>ハッピョウシャ</t>
    </rPh>
    <phoneticPr fontId="2"/>
  </si>
  <si>
    <t>チェック実施者</t>
    <rPh sb="4" eb="7">
      <t>ジッシシャ</t>
    </rPh>
    <phoneticPr fontId="2"/>
  </si>
  <si>
    <t>※原稿作成者・発表者以外がチェック実施すること</t>
    <rPh sb="1" eb="6">
      <t>ゲンコウサクセイシャ</t>
    </rPh>
    <rPh sb="7" eb="10">
      <t>ハッピョウシャ</t>
    </rPh>
    <rPh sb="10" eb="12">
      <t>イガイ</t>
    </rPh>
    <rPh sb="17" eb="19">
      <t>ジッシ</t>
    </rPh>
    <phoneticPr fontId="2"/>
  </si>
  <si>
    <t>NTT AI-CIX</t>
    <phoneticPr fontId="2"/>
  </si>
  <si>
    <t>広告種別</t>
    <rPh sb="0" eb="2">
      <t>コウコク</t>
    </rPh>
    <rPh sb="2" eb="4">
      <t>シュベツ</t>
    </rPh>
    <phoneticPr fontId="2"/>
  </si>
  <si>
    <t>NTTイノベーティブデバイス</t>
    <phoneticPr fontId="2"/>
  </si>
  <si>
    <t>OOH（ポスター/交通広告/看板）</t>
    <rPh sb="9" eb="11">
      <t>コウツウ</t>
    </rPh>
    <rPh sb="11" eb="13">
      <t>コウコク</t>
    </rPh>
    <rPh sb="14" eb="16">
      <t>カンバン</t>
    </rPh>
    <phoneticPr fontId="2"/>
  </si>
  <si>
    <t>TVCM、新聞広告については持株広報部門へ事前照会をお願いします</t>
    <rPh sb="5" eb="9">
      <t>シンブンコウコク</t>
    </rPh>
    <rPh sb="14" eb="16">
      <t>モチカブ</t>
    </rPh>
    <rPh sb="16" eb="20">
      <t>コウホウブモン</t>
    </rPh>
    <rPh sb="21" eb="23">
      <t>ジゼン</t>
    </rPh>
    <rPh sb="23" eb="25">
      <t>ショウカイ</t>
    </rPh>
    <rPh sb="27" eb="28">
      <t>ネガ</t>
    </rPh>
    <phoneticPr fontId="2"/>
  </si>
  <si>
    <t>NTTプレシジョンメディシン</t>
    <phoneticPr fontId="2"/>
  </si>
  <si>
    <t>広告内容</t>
    <rPh sb="0" eb="2">
      <t>コウコク</t>
    </rPh>
    <rPh sb="2" eb="4">
      <t>ナイヨウ</t>
    </rPh>
    <phoneticPr fontId="2"/>
  </si>
  <si>
    <t>NTTテクノクロス</t>
    <phoneticPr fontId="2"/>
  </si>
  <si>
    <t>1. ブランド観点</t>
    <rPh sb="7" eb="9">
      <t>カンテン</t>
    </rPh>
    <phoneticPr fontId="2"/>
  </si>
  <si>
    <t>項番</t>
    <rPh sb="0" eb="2">
      <t>コウバン</t>
    </rPh>
    <phoneticPr fontId="2"/>
  </si>
  <si>
    <t>はい</t>
    <phoneticPr fontId="2"/>
  </si>
  <si>
    <t>いいえ</t>
    <phoneticPr fontId="2"/>
  </si>
  <si>
    <t>対象外</t>
    <rPh sb="0" eb="3">
      <t>タイショウガイ</t>
    </rPh>
    <phoneticPr fontId="2"/>
  </si>
  <si>
    <t>補足・備考</t>
    <rPh sb="0" eb="2">
      <t>ホソク</t>
    </rPh>
    <rPh sb="3" eb="5">
      <t>ビコウ</t>
    </rPh>
    <phoneticPr fontId="2"/>
  </si>
  <si>
    <t>(1)</t>
    <phoneticPr fontId="2"/>
  </si>
  <si>
    <t>最新の「NTT / NTTグループ　ブランドガイドライン」※を参照し、CI/GI規定、ブランドカラー、フォント、各種ロゴ等について、ガイドラインに沿った広告表現になっている
※ブランドガイドライン：
　https://nnn.gvm-jp.groupis-gn.ntt/jp/GI/</t>
    <rPh sb="0" eb="2">
      <t>サイシン</t>
    </rPh>
    <rPh sb="31" eb="33">
      <t>サンショウ</t>
    </rPh>
    <phoneticPr fontId="3"/>
  </si>
  <si>
    <t>(2)</t>
    <phoneticPr fontId="2"/>
  </si>
  <si>
    <t>広告表現や施策によって目指すところが、自社のビジョンと矛盾していない</t>
    <rPh sb="0" eb="4">
      <t>コウコクヒョウゲン</t>
    </rPh>
    <rPh sb="5" eb="7">
      <t>シサク</t>
    </rPh>
    <rPh sb="11" eb="13">
      <t>メザ</t>
    </rPh>
    <rPh sb="19" eb="21">
      <t>ジシャ</t>
    </rPh>
    <rPh sb="27" eb="29">
      <t>ムジュン</t>
    </rPh>
    <phoneticPr fontId="3"/>
  </si>
  <si>
    <t>(3)</t>
  </si>
  <si>
    <t>事業環境を取り巻く状況を踏まえて適切なタイミングでの公開となっている
（ネガティブなトレンドはないか）</t>
    <phoneticPr fontId="2"/>
  </si>
  <si>
    <t>また、使用する製品名について知財部門に事前照会済である</t>
    <rPh sb="3" eb="5">
      <t>シヨウ</t>
    </rPh>
    <rPh sb="6" eb="9">
      <t>セイヒンメイ</t>
    </rPh>
    <rPh sb="13" eb="15">
      <t>チザイ</t>
    </rPh>
    <rPh sb="15" eb="17">
      <t>ブモン</t>
    </rPh>
    <rPh sb="19" eb="21">
      <t>ジゼン</t>
    </rPh>
    <rPh sb="21" eb="23">
      <t>ショウカイ</t>
    </rPh>
    <rPh sb="22" eb="23">
      <t>スミ</t>
    </rPh>
    <phoneticPr fontId="2"/>
  </si>
  <si>
    <t>(4)</t>
  </si>
  <si>
    <t>（新たな）タレントを起用していない※</t>
    <rPh sb="1" eb="2">
      <t>アラ</t>
    </rPh>
    <rPh sb="10" eb="12">
      <t>キヨウ</t>
    </rPh>
    <phoneticPr fontId="3"/>
  </si>
  <si>
    <t>写真素材のモデルは対象外とする</t>
    <rPh sb="0" eb="4">
      <t>シャシンソザイ</t>
    </rPh>
    <rPh sb="9" eb="12">
      <t>タイショウガイ</t>
    </rPh>
    <phoneticPr fontId="2"/>
  </si>
  <si>
    <t>※公開範囲問わず、タレント起用をご検討の際は事前に持株会社 広報部門へご相談ください</t>
    <phoneticPr fontId="2"/>
  </si>
  <si>
    <t>持株会社 広報部門へは営業推進部広報部門から連絡する
（計画段階で広報部門へ相談）</t>
    <rPh sb="0" eb="4">
      <t>モチカブガイシャ</t>
    </rPh>
    <rPh sb="5" eb="9">
      <t>コウホウブモン</t>
    </rPh>
    <rPh sb="11" eb="16">
      <t>エイギョウスイシンブ</t>
    </rPh>
    <rPh sb="16" eb="20">
      <t>コウホウブモン</t>
    </rPh>
    <rPh sb="22" eb="24">
      <t>レンラク</t>
    </rPh>
    <rPh sb="28" eb="32">
      <t>ケイカクダンカイ</t>
    </rPh>
    <rPh sb="33" eb="37">
      <t>コウホウブモン</t>
    </rPh>
    <rPh sb="38" eb="40">
      <t>ソウダン</t>
    </rPh>
    <phoneticPr fontId="2"/>
  </si>
  <si>
    <t>(5)</t>
    <phoneticPr fontId="2"/>
  </si>
  <si>
    <t>お客さまにとって分かりにくい専門用語はない
（専門用語を用いている場合でも、用語の内容を説明している）</t>
    <phoneticPr fontId="3"/>
  </si>
  <si>
    <t>(6)</t>
  </si>
  <si>
    <t>差別的な表現、お客さまが不快感を抱くような表現、持株会社やNTTグループの品位を低下させるような表現等がない</t>
    <rPh sb="24" eb="26">
      <t>モチカブ</t>
    </rPh>
    <rPh sb="26" eb="28">
      <t>カイシャ</t>
    </rPh>
    <phoneticPr fontId="3"/>
  </si>
  <si>
    <t>(7)</t>
  </si>
  <si>
    <t>あいまいな表現や、誤解を生む可能性がある表現等がない</t>
    <rPh sb="5" eb="7">
      <t>ヒョウゲン</t>
    </rPh>
    <rPh sb="9" eb="11">
      <t>ゴカイ</t>
    </rPh>
    <rPh sb="12" eb="13">
      <t>ウ</t>
    </rPh>
    <rPh sb="14" eb="17">
      <t>カノウセイ</t>
    </rPh>
    <rPh sb="20" eb="23">
      <t>ヒョウゲントウ</t>
    </rPh>
    <phoneticPr fontId="3"/>
  </si>
  <si>
    <t>(8)</t>
  </si>
  <si>
    <t>他社（者）や業界、業種を批判・否定するような表現になっていない</t>
    <phoneticPr fontId="3"/>
  </si>
  <si>
    <t>(9)</t>
  </si>
  <si>
    <t>全体を通し、ネガティブな表現になっていない</t>
    <rPh sb="0" eb="2">
      <t>ゼンタイ</t>
    </rPh>
    <rPh sb="3" eb="4">
      <t>トオ</t>
    </rPh>
    <phoneticPr fontId="3"/>
  </si>
  <si>
    <t>(10)</t>
  </si>
  <si>
    <t>事実よりも誇張した表現が含まれていない</t>
    <rPh sb="0" eb="2">
      <t>ジジツ</t>
    </rPh>
    <rPh sb="5" eb="7">
      <t>コチョウ</t>
    </rPh>
    <rPh sb="9" eb="11">
      <t>ヒョウゲン</t>
    </rPh>
    <rPh sb="12" eb="13">
      <t>フク</t>
    </rPh>
    <phoneticPr fontId="3"/>
  </si>
  <si>
    <t>(11)</t>
  </si>
  <si>
    <t>事実と関係性の低いビジュアルを用いていない
（事実と関連がないのに、「子どもの笑顔」「豊かな自然」等の写真やイメージの付与を行わない※）
※子どもを広告に起用する場合は、「サステナビリティ・コミュニケーションガイド2023」
　（2023年株式会社電通作成）のP50を参照
　https://www.group.dentsu.com/jp/sustainability/pdf/sustainability-communication-guide2023.pdf</t>
    <phoneticPr fontId="3"/>
  </si>
  <si>
    <t>(12)</t>
  </si>
  <si>
    <t>数値を表示する場合、その数値の根拠や算出方法が明確に示されている</t>
    <rPh sb="0" eb="2">
      <t>スウチ</t>
    </rPh>
    <rPh sb="3" eb="5">
      <t>ヒョウジ</t>
    </rPh>
    <rPh sb="7" eb="9">
      <t>バアイ</t>
    </rPh>
    <rPh sb="23" eb="25">
      <t>メイカク</t>
    </rPh>
    <rPh sb="26" eb="27">
      <t>シメ</t>
    </rPh>
    <phoneticPr fontId="3"/>
  </si>
  <si>
    <t>(13)</t>
  </si>
  <si>
    <t>表示する名称・スペックは全て正確に記載している</t>
    <phoneticPr fontId="3"/>
  </si>
  <si>
    <t>(14)</t>
  </si>
  <si>
    <t>掲載する情報は最新のものである、もしくは、変動がある情報については、いつ時点の情報か明示している</t>
    <rPh sb="0" eb="2">
      <t>ケイサイ</t>
    </rPh>
    <rPh sb="4" eb="6">
      <t>ジョウホウ</t>
    </rPh>
    <rPh sb="7" eb="9">
      <t>サイシン</t>
    </rPh>
    <rPh sb="21" eb="23">
      <t>ヘンドウ</t>
    </rPh>
    <rPh sb="26" eb="28">
      <t>ジョウホウ</t>
    </rPh>
    <rPh sb="36" eb="38">
      <t>ジテン</t>
    </rPh>
    <rPh sb="39" eb="41">
      <t>ジョウホウ</t>
    </rPh>
    <rPh sb="42" eb="44">
      <t>メイジ</t>
    </rPh>
    <phoneticPr fontId="3"/>
  </si>
  <si>
    <t>(15)</t>
  </si>
  <si>
    <t>クリエイティブについて不具合があった場合、その修理/修復/賠償等の責任の所在は明確になっており、また、契約書等で合意がなされている</t>
    <phoneticPr fontId="2"/>
  </si>
  <si>
    <t>契約書等を決裁文書に添付する事</t>
    <rPh sb="0" eb="3">
      <t>ケイヤクショ</t>
    </rPh>
    <rPh sb="3" eb="4">
      <t>トウ</t>
    </rPh>
    <phoneticPr fontId="2"/>
  </si>
  <si>
    <t>(16)</t>
  </si>
  <si>
    <t>個人情報が含まれる場合、個人情報の利用、管理などに十分な配慮がなされている</t>
    <rPh sb="5" eb="6">
      <t>フク</t>
    </rPh>
    <phoneticPr fontId="2"/>
  </si>
  <si>
    <t>(17)</t>
  </si>
  <si>
    <t>広告に含まれる実験データや事例について、サンプル化・匿名化がなされている</t>
    <rPh sb="0" eb="2">
      <t>コウコク</t>
    </rPh>
    <phoneticPr fontId="2"/>
  </si>
  <si>
    <t>【TVCMの場合】</t>
    <phoneticPr fontId="2"/>
  </si>
  <si>
    <t>対象の場合は以下チェック後、広報部門へご連絡ください</t>
    <phoneticPr fontId="2"/>
  </si>
  <si>
    <t>(18)</t>
    <phoneticPr fontId="2"/>
  </si>
  <si>
    <t>文字表示（特に注釈類を含むもの）の露出秒数が2秒以上となっている</t>
    <phoneticPr fontId="2"/>
  </si>
  <si>
    <t>(19)</t>
    <phoneticPr fontId="2"/>
  </si>
  <si>
    <t>文字数が1行に30文字※以内で2行以内となっている
※記号はカウントする、スペースはカウントしない</t>
    <rPh sb="16" eb="17">
      <t>ギョウ</t>
    </rPh>
    <rPh sb="17" eb="19">
      <t>イナイ</t>
    </rPh>
    <phoneticPr fontId="2"/>
  </si>
  <si>
    <t>(20)</t>
    <phoneticPr fontId="2"/>
  </si>
  <si>
    <t>注釈が3行以上にわたる場合は、訴求ポイント等注釈以外の文字も含めて視聴者が通常の見方で読み切ることができる秒数（最低3秒以上）を個別具体的に計測する等して十分に確保されている</t>
    <phoneticPr fontId="2"/>
  </si>
  <si>
    <t>【商品・サービスに関する広告の場合】</t>
    <rPh sb="1" eb="3">
      <t>ショウヒン</t>
    </rPh>
    <rPh sb="9" eb="10">
      <t>カン</t>
    </rPh>
    <rPh sb="12" eb="14">
      <t>コウコク</t>
    </rPh>
    <phoneticPr fontId="2"/>
  </si>
  <si>
    <t>対象の場合は以下をチェックしてください</t>
    <phoneticPr fontId="2"/>
  </si>
  <si>
    <t>(21)</t>
    <phoneticPr fontId="2"/>
  </si>
  <si>
    <t>品質、規格等を訴求する際、「安全」、「完全」、「万全」等、安全性・完全性を示す広告表示を使用していない</t>
    <phoneticPr fontId="2"/>
  </si>
  <si>
    <t>(22)</t>
    <phoneticPr fontId="2"/>
  </si>
  <si>
    <t>世に出てから6か月以上経過した商品・サービスについて、「新登場」等の語を用いていない（広告期間中含む）</t>
    <phoneticPr fontId="2"/>
  </si>
  <si>
    <t>【NTTの研究所、研究技術に関する広告の場合】</t>
    <rPh sb="5" eb="8">
      <t>ケンキュウジョ</t>
    </rPh>
    <rPh sb="9" eb="11">
      <t>ケンキュウ</t>
    </rPh>
    <rPh sb="11" eb="13">
      <t>ギジュツ</t>
    </rPh>
    <rPh sb="14" eb="15">
      <t>カン</t>
    </rPh>
    <rPh sb="17" eb="19">
      <t>コウコク</t>
    </rPh>
    <phoneticPr fontId="2"/>
  </si>
  <si>
    <t>(23)</t>
    <phoneticPr fontId="2"/>
  </si>
  <si>
    <t>【持株会社のみ対象】
特定の1社専用の技術であるような排他的な表現にはなっていない（基盤的であることが認識できる）</t>
    <phoneticPr fontId="2"/>
  </si>
  <si>
    <t>(24)</t>
    <phoneticPr fontId="2"/>
  </si>
  <si>
    <t>【持株会社のみ対象】
特定の事業会社やそのサービス等のプロモーション動画と受け取られるような表現になっていない</t>
    <phoneticPr fontId="2"/>
  </si>
  <si>
    <t>(25)</t>
  </si>
  <si>
    <t>【持株会社及び対象の事業会社対象】
他者と連携する取組み（共同研究・共同実験等）に基づく内容が含まれる場合、他社成果とNTT成果が区別されている（あるいはNTT成果のみの内容にとどめた内容で制作している）、また、他社成果内容も含め広告される場合に他社との間に契約その他の制約がない</t>
    <phoneticPr fontId="2"/>
  </si>
  <si>
    <t>(26)</t>
  </si>
  <si>
    <t>【持株会社及び対象の事業会社対象】
研究開発フェーズを踏まえ、（そうではないのに）すぐに使えるように過度の期待を持たせるような過度な表現にはなっていない</t>
    <phoneticPr fontId="2"/>
  </si>
  <si>
    <t>(27)</t>
  </si>
  <si>
    <t>【持株会社及び対象の事業会社対象】
一般公開できる内容である（守秘すべき会社技術/ノウハウ/報道発表前の内容（NDA等により守秘が必要な他社情報を含む）/特許出願のうち公開前の秘密情報を含んでいない）</t>
    <phoneticPr fontId="2"/>
  </si>
  <si>
    <t>(28)</t>
  </si>
  <si>
    <t>【持株会社及び対象の事業会社対象】
研究成果の背景として、従来技術の課題や社会で問題となっている事柄を示す場合、過度に不安をあおるような内容になっていない</t>
    <phoneticPr fontId="2"/>
  </si>
  <si>
    <t>(29)</t>
  </si>
  <si>
    <t>【持株会社及び対象の事業会社対象】
お客さまの声を掲載する際、実際の発言内容にとどめ、発言の時期・研究技術等の導入時期・効果はお客さまにより異なる旨を明示している</t>
    <phoneticPr fontId="2"/>
  </si>
  <si>
    <t>2. 景品表示法関連</t>
    <phoneticPr fontId="2"/>
  </si>
  <si>
    <t>内容</t>
    <rPh sb="0" eb="2">
      <t>ナイヨウ</t>
    </rPh>
    <phoneticPr fontId="2"/>
  </si>
  <si>
    <t>商品またはサービスの仕様・キャンペーン内容などを訴求する場合、条件や例外事項等があれば適切に表示し、
実際より優良又は有利なものであるという誤認を招かない広告になっている</t>
    <phoneticPr fontId="2"/>
  </si>
  <si>
    <t>過去の自社もしくは競合他社との比較をした広告表示、または No.1 表示※を含む広告表示がある場合、比較方法が公正で、範囲や表示の根拠となる調査の対象となった期間・時点が明瞭に表示されており、明確な根拠がある
※No.1 表示：
　「No1」、「第一位」、「トップ」、「日本一」、「業界初」、「日本初」、「世界初」等の強調表示を指す</t>
    <rPh sb="47" eb="49">
      <t>バアイ</t>
    </rPh>
    <rPh sb="50" eb="54">
      <t>ヒカクホウホウ</t>
    </rPh>
    <rPh sb="55" eb="57">
      <t>コウセイ</t>
    </rPh>
    <rPh sb="59" eb="61">
      <t>ハンイ</t>
    </rPh>
    <rPh sb="85" eb="87">
      <t>メイリョウ</t>
    </rPh>
    <rPh sb="96" eb="98">
      <t>メイカク</t>
    </rPh>
    <rPh sb="99" eb="101">
      <t>コンキョ</t>
    </rPh>
    <phoneticPr fontId="3"/>
  </si>
  <si>
    <t>景品表示法に従って、広告内容は適正に表示されており、比較広告で主張する内容に関する客観的に実証された根拠を確認している</t>
    <rPh sb="10" eb="14">
      <t>コウコクナイヨウ</t>
    </rPh>
    <phoneticPr fontId="3"/>
  </si>
  <si>
    <t>(4)</t>
    <phoneticPr fontId="2"/>
  </si>
  <si>
    <t>打消し表示（注釈）について、以下を満たしている
　- 一般消費者の不利益となる事実について打消し表示している
　- 打消し表示（注釈）の内容が、一般消費者にとって理解しやすい内容となっている
　- 打消し表示（注釈）の表示が、強調表示に近接した場所（直下、真横等）に一体の訴求として見えるように記載されている（別のページとなっていない）
　- 打消し表示（注釈）に用いる小さい文字のサイズは、強調する文字に対して7分の1以上となっている
　- Webページの場合、原則、強調表示からスクロールをしなくても表示される場所に表示している</t>
    <phoneticPr fontId="2"/>
  </si>
  <si>
    <t>リンク先にサービスの内容、取引条件について重要な情報を表示する場合、以下の項目全て満たしている
　- リンクの文字列に、リンク先に何が表示されているかが明確に分かる具体的な表現が用いられている
　- リンクの文字列がリンク先の情報に関連する情報の近くに表示されている</t>
    <phoneticPr fontId="2"/>
  </si>
  <si>
    <t>(6)</t>
    <phoneticPr fontId="2"/>
  </si>
  <si>
    <t>[不実証広告規制]
下記についての確認を行い、対応ができている
・表示内容が客観的に実証された内容のものである（次のいずれかに該当するもの）
　- 試験・調査によって得られた結果
　- 専門家、専門家団体もしくは専門機関の見解または学術文献
・表示された効果、性能と根拠資料によって実証された内容が適切に対応している
・広告表示審査時に当該根拠資料を併せて保管、提出している</t>
    <phoneticPr fontId="2"/>
  </si>
  <si>
    <t>【キャンペーンを実施する場合】</t>
    <rPh sb="8" eb="10">
      <t>ジッシ</t>
    </rPh>
    <rPh sb="12" eb="14">
      <t>バアイ</t>
    </rPh>
    <phoneticPr fontId="2"/>
  </si>
  <si>
    <t>対象の場合は以下をチェックしてください。</t>
    <rPh sb="0" eb="2">
      <t>タイショウ</t>
    </rPh>
    <rPh sb="3" eb="5">
      <t>バアイ</t>
    </rPh>
    <rPh sb="6" eb="8">
      <t>イカ</t>
    </rPh>
    <phoneticPr fontId="2"/>
  </si>
  <si>
    <t>(7)</t>
    <phoneticPr fontId="2"/>
  </si>
  <si>
    <t>下記観点で、キャンペーン内容が正しく記載されている
　①対象の特典を正しく記載していること
　　NG例：特典がdポイント付与など現金でない場合に、「キャッシュバック」と表現を使っている。
　② 特典を受けるための条件・制約等を記載していること
　　NG例：抽選なのに、抽選である旨の明記がない
　　　　  ：事前エントリー、アカウント連携、指定商品の購入、指定店舗での購入といった条件があるのに、
　　　　　  その記載がない。
　③②の記載を確実に認識できるよう、位置・サイズ等を考慮して記載していること
　　 NG例：条件・制約は記載しているが、小さい文字サイズや目立たない場所・色で記載している</t>
    <phoneticPr fontId="2"/>
  </si>
  <si>
    <t>(8)</t>
    <phoneticPr fontId="2"/>
  </si>
  <si>
    <t>下記についての確認を行い、対応ができている
・「”期間限定”である旨を強調する表示」をしている場合、当該施策は１回限りの（延長の可能性もない）施策である
・施策期間を延長する場合（延長する可能性がある場合も含む）、「”期間限定”である旨を強調する表示」をしていない。また、注釈部分に申込受付期間等を表示し（申込受付期間を強調して表示せず）、かつ期間が延長される可能性がある旨を明記している（例：※期間は延長する場合があります。）
・「”期間限定”である旨を強調する表示」をした前回キャンペーンと同一のキャンペーン（一般消費者が明らかに違うキャンペーンであると認識できないものをいう。）を再度実施する場合には、最低２ヶ月（前回キャンペーンが２ヶ月を超える場合は前回キャンペーンと同期間）以上の間隔を空けている</t>
    <phoneticPr fontId="2"/>
  </si>
  <si>
    <t>【価格表示がある場合】</t>
    <phoneticPr fontId="2"/>
  </si>
  <si>
    <t>(9)</t>
    <phoneticPr fontId="2"/>
  </si>
  <si>
    <t xml:space="preserve">[価格表示]
下記についての確認を行い、対応ができている
・実際より安い価格を表示していない
・表示価格以外に、商品・サービスを利用するにあたり別途必要となる費用について、適切に表示している（総額表示となっている）
・表示価格が適用される対象者について、適切に表示している
・10％の税込価格となっている
・具体的な金額で工事費を訴求した場合、下記注釈（2つ）を記載している（記載の金額以外に工事費が発生しないのであれば、下記注釈の記載は不要）
　①「記載の工事費は代表的な料金です。」
　②「お客さまのご利用環境等によっては、その他工事費が別途必要となる場合があります。」			</t>
    <phoneticPr fontId="2"/>
  </si>
  <si>
    <t>事業者間取引の場合は税抜き表示可</t>
    <rPh sb="7" eb="9">
      <t>バアイ</t>
    </rPh>
    <rPh sb="10" eb="11">
      <t>ゼイ</t>
    </rPh>
    <rPh sb="11" eb="12">
      <t>ヌ</t>
    </rPh>
    <rPh sb="13" eb="15">
      <t>ヒョウジ</t>
    </rPh>
    <rPh sb="15" eb="16">
      <t>カ</t>
    </rPh>
    <phoneticPr fontId="2"/>
  </si>
  <si>
    <t>(10)</t>
    <phoneticPr fontId="2"/>
  </si>
  <si>
    <t>[二重価格表示]
下記についての確認を行い、対応ができている
・比較対照価格に用いる価格について、「実際と異なる表示」や「あいまいな表示」を行っていない
・銘柄、品質、規格等からみて同一ではない商品、サービスの価格を比較対照価格に用いていない
・過去の販売価格を比較対照価格とする場合、以下の①～③をすべて満たしている
　 ①最近時（過去8週間）において、当該比較対照価格での販売期間が過半を占めている
 　②当該比較対照価格で販売されていた期間が通算して２週間以上である
 　③当該比較対照価格で販売された最後の日から２週間以上経過していない
・将来の販売価格を比較対照価格とする場合、将来の価格設定は確かなもの （ごく短期間のみ当該価格で販売するわけではない） となっている
・希望小売価格を比較対照価格とする二重価格表示となっていない</t>
    <phoneticPr fontId="2"/>
  </si>
  <si>
    <t>3. 知的財産権関連</t>
    <phoneticPr fontId="2"/>
  </si>
  <si>
    <t>エキストラや一般の出演者がいる場合、書面をもって出演に関する留意事項を取り交わしている</t>
    <phoneticPr fontId="3"/>
  </si>
  <si>
    <t>外国の国旗・紋章、国際機関の標章、赤十字の標章、通貨・郵便切手等、公益的性格を有する証票等を許可なく使用していない</t>
    <phoneticPr fontId="3"/>
  </si>
  <si>
    <t>広告で使用する他者の権利※について、目的・用途・公開方法・使用期間等の条件において、権利者（またはJASRAC等管理団体）から使用許諾を得ている、もしくは、ガイドラインや他社が定めるルール等、使用許諾条件として権利者から提示されたレギュレーションに沿った運用がなされている
※他者の権利：
　登場人物（タレント・エキストラ・一般人含む）の肖像権、登場する社名や商品・ロゴ等の商標権、特徴ある建物や工業デザインなどの意匠権、映像・画像・使用楽曲・歌詞・ナレーション音声等の著作権　等
※参考：
　特許情報プラットフォーム　簡易検索
　https://www.j-platpat.inpit.go.jp/</t>
    <rPh sb="0" eb="2">
      <t>コウコク</t>
    </rPh>
    <phoneticPr fontId="3"/>
  </si>
  <si>
    <t>他者権利の許諾に関する証跡を決裁文書に添付する事</t>
    <phoneticPr fontId="2"/>
  </si>
  <si>
    <t>著作権フリーのコンテンツ（フリー素材掲載サイト等）は、著作権者が不明確であるため、使用していない</t>
    <phoneticPr fontId="3"/>
  </si>
  <si>
    <t>著作権の帰属が明示されており、有償/無償の許諾条件、責任の規定が明確である法人事業者が運営しているコンテンツは除く（疑義がある場合は知財部門に相談）</t>
    <phoneticPr fontId="2"/>
  </si>
  <si>
    <t>(5)</t>
  </si>
  <si>
    <t>広告内における自社/他社商標について、ガイドラインや他社が定めるルール等に記載した内容に従い適切に使用している
参考：
特許情報プラットフォーム　簡易検索
https://www.j-platpat.inpit.go.jp/</t>
    <rPh sb="26" eb="28">
      <t>タシャ</t>
    </rPh>
    <rPh sb="29" eb="30">
      <t>サダ</t>
    </rPh>
    <rPh sb="35" eb="36">
      <t>トウ</t>
    </rPh>
    <rPh sb="56" eb="58">
      <t>サンコウ</t>
    </rPh>
    <phoneticPr fontId="3"/>
  </si>
  <si>
    <t>自社の技術が特許出願中であること等を表示する場合、
　・公開公報・特許公報が発行される前（未公開）の特許出願番号を書いていない
　・特許登録前なのに、登録済特許であるような誤解を与える表示をしていない</t>
    <phoneticPr fontId="2"/>
  </si>
  <si>
    <t>商標出願中など、未登録の商標については、（例）『「●●●」は、NTTテクノクロス株式会社の商標です。』という表現になっている
※商標登録済みの場合は、下記表現にて記載
　（例）『「●●●」は、NTTテクノクロス株式会社の登録商標です。』</t>
    <rPh sb="2" eb="5">
      <t>シュツガンチュウ</t>
    </rPh>
    <rPh sb="8" eb="11">
      <t>ミトウロク</t>
    </rPh>
    <rPh sb="12" eb="14">
      <t>ショウヒョウ</t>
    </rPh>
    <rPh sb="21" eb="22">
      <t>レイ</t>
    </rPh>
    <rPh sb="54" eb="56">
      <t>ヒョウゲン</t>
    </rPh>
    <rPh sb="64" eb="66">
      <t>ショウヒョウ</t>
    </rPh>
    <rPh sb="66" eb="68">
      <t>トウロク</t>
    </rPh>
    <rPh sb="68" eb="69">
      <t>ズ</t>
    </rPh>
    <rPh sb="71" eb="73">
      <t>バアイ</t>
    </rPh>
    <rPh sb="75" eb="79">
      <t>カキヒョウゲン</t>
    </rPh>
    <rPh sb="81" eb="83">
      <t>キサイ</t>
    </rPh>
    <rPh sb="86" eb="87">
      <t>レイ</t>
    </rPh>
    <rPh sb="110" eb="112">
      <t>トウロク</t>
    </rPh>
    <phoneticPr fontId="3"/>
  </si>
  <si>
    <t>広く認識されている他人の商品等と同一または類似の表示を使い、他社の製品・サービスとの混同の惹起や他社の商標権を侵害したり、著名性にフリーライドする目的を推認させるような記載や表現はないことを知財部門に事前に確認済である</t>
    <rPh sb="47" eb="49">
      <t>タシャ</t>
    </rPh>
    <rPh sb="94" eb="96">
      <t>チザイ</t>
    </rPh>
    <rPh sb="96" eb="98">
      <t>ブモン</t>
    </rPh>
    <rPh sb="99" eb="101">
      <t>ジゼン</t>
    </rPh>
    <rPh sb="102" eb="104">
      <t>カクニン</t>
    </rPh>
    <rPh sb="104" eb="105">
      <t>スミ</t>
    </rPh>
    <phoneticPr fontId="3"/>
  </si>
  <si>
    <t>使用する製品名については、必ず、知財部門や特許事務所調査後の使用とすること</t>
    <rPh sb="0" eb="2">
      <t>シヨウ</t>
    </rPh>
    <rPh sb="4" eb="6">
      <t>セイヒン</t>
    </rPh>
    <rPh sb="6" eb="7">
      <t>メイ</t>
    </rPh>
    <rPh sb="13" eb="14">
      <t>カナラ</t>
    </rPh>
    <rPh sb="16" eb="18">
      <t>チザイ</t>
    </rPh>
    <rPh sb="18" eb="20">
      <t>ブモン</t>
    </rPh>
    <rPh sb="21" eb="26">
      <t>トッキョジムショ</t>
    </rPh>
    <rPh sb="26" eb="28">
      <t>チョウサ</t>
    </rPh>
    <rPh sb="28" eb="29">
      <t>ゴ</t>
    </rPh>
    <rPh sb="30" eb="32">
      <t>シヨウ</t>
    </rPh>
    <phoneticPr fontId="2"/>
  </si>
  <si>
    <t>広告・宣伝する製品・サービスの商標出願は済んでいる</t>
  </si>
  <si>
    <t>他社の事例紹介・推薦については承諾を書面等でとっている</t>
  </si>
  <si>
    <t>新製品や既存製品の新機能追加の場合、他者特許権の侵害可能性について知財部門と相談済みである</t>
    <rPh sb="0" eb="3">
      <t>シンセイヒン</t>
    </rPh>
    <rPh sb="4" eb="6">
      <t>キソン</t>
    </rPh>
    <rPh sb="6" eb="8">
      <t>セイヒン</t>
    </rPh>
    <rPh sb="9" eb="12">
      <t>シンキノウ</t>
    </rPh>
    <rPh sb="12" eb="14">
      <t>ツイカ</t>
    </rPh>
    <rPh sb="15" eb="17">
      <t>バアイ</t>
    </rPh>
    <rPh sb="18" eb="20">
      <t>タシャ</t>
    </rPh>
    <rPh sb="20" eb="23">
      <t>トッキョケン</t>
    </rPh>
    <rPh sb="24" eb="26">
      <t>シンガイ</t>
    </rPh>
    <rPh sb="26" eb="29">
      <t>カノウセイ</t>
    </rPh>
    <rPh sb="33" eb="37">
      <t>チザイブモン</t>
    </rPh>
    <rPh sb="38" eb="40">
      <t>ソウダン</t>
    </rPh>
    <rPh sb="40" eb="41">
      <t>ズ</t>
    </rPh>
    <phoneticPr fontId="2"/>
  </si>
  <si>
    <t>(12)</t>
    <phoneticPr fontId="2"/>
  </si>
  <si>
    <t>新しいアイデアについては特許出願について知財部門と相談済みである</t>
    <phoneticPr fontId="2"/>
  </si>
  <si>
    <t>(13)</t>
    <phoneticPr fontId="2"/>
  </si>
  <si>
    <t>自社・他社の機密情報は記載されていない</t>
    <phoneticPr fontId="2"/>
  </si>
  <si>
    <t>(14)</t>
    <phoneticPr fontId="2"/>
  </si>
  <si>
    <t>国内で開催される展示会である（又は）海外展示会の場合は知財輸出と相談済みである</t>
    <phoneticPr fontId="2"/>
  </si>
  <si>
    <r>
      <t>外部発表_広告表示チェックシート(論文・書籍・技術解説用）</t>
    </r>
    <r>
      <rPr>
        <b/>
        <sz val="18"/>
        <color theme="1"/>
        <rFont val="游ゴシック"/>
        <family val="3"/>
        <charset val="128"/>
        <scheme val="minor"/>
      </rPr>
      <t xml:space="preserve"> :</t>
    </r>
    <r>
      <rPr>
        <sz val="18"/>
        <color theme="1"/>
        <rFont val="游ゴシック"/>
        <family val="2"/>
        <charset val="128"/>
        <scheme val="minor"/>
      </rPr>
      <t>　</t>
    </r>
    <r>
      <rPr>
        <sz val="18"/>
        <color rgb="FF0000FF"/>
        <rFont val="游ゴシック"/>
        <family val="3"/>
        <charset val="128"/>
        <scheme val="minor"/>
      </rPr>
      <t>統括表</t>
    </r>
    <rPh sb="0" eb="2">
      <t>ガイブ</t>
    </rPh>
    <rPh sb="2" eb="4">
      <t>ハッピョウ</t>
    </rPh>
    <rPh sb="5" eb="9">
      <t>コウコクヒョウジ</t>
    </rPh>
    <rPh sb="27" eb="28">
      <t>ヨウ</t>
    </rPh>
    <rPh sb="32" eb="34">
      <t>トウカツ</t>
    </rPh>
    <rPh sb="34" eb="35">
      <t>ヒョウ</t>
    </rPh>
    <phoneticPr fontId="2"/>
  </si>
  <si>
    <t>　本シートは書き込みセル以外を保護（ロック）しています。補足内容などの記載が必要な場合は、「補足・注記事項」欄を使用して下さい。</t>
    <rPh sb="1" eb="2">
      <t>ホン</t>
    </rPh>
    <rPh sb="6" eb="7">
      <t>カ</t>
    </rPh>
    <rPh sb="8" eb="9">
      <t>コ</t>
    </rPh>
    <rPh sb="12" eb="14">
      <t>イガイ</t>
    </rPh>
    <rPh sb="15" eb="17">
      <t>ホゴ</t>
    </rPh>
    <rPh sb="28" eb="30">
      <t>ホソク</t>
    </rPh>
    <rPh sb="30" eb="32">
      <t>ナイヨウ</t>
    </rPh>
    <rPh sb="35" eb="37">
      <t>キサイ</t>
    </rPh>
    <rPh sb="38" eb="40">
      <t>ヒツヨウ</t>
    </rPh>
    <rPh sb="41" eb="43">
      <t>バアイ</t>
    </rPh>
    <rPh sb="46" eb="48">
      <t>ホソク</t>
    </rPh>
    <rPh sb="49" eb="51">
      <t>チュウキ</t>
    </rPh>
    <rPh sb="51" eb="53">
      <t>ジコウ</t>
    </rPh>
    <rPh sb="54" eb="55">
      <t>ラン</t>
    </rPh>
    <rPh sb="56" eb="58">
      <t>シヨウ</t>
    </rPh>
    <rPh sb="60" eb="61">
      <t>クダ</t>
    </rPh>
    <phoneticPr fontId="2"/>
  </si>
  <si>
    <t>１．発表案件（本チェックシートでのチェック対象）</t>
    <rPh sb="2" eb="4">
      <t>ハッピョウ</t>
    </rPh>
    <rPh sb="4" eb="6">
      <t>アンケン</t>
    </rPh>
    <rPh sb="7" eb="8">
      <t>ホン</t>
    </rPh>
    <rPh sb="21" eb="23">
      <t>タイショウ</t>
    </rPh>
    <phoneticPr fontId="2"/>
  </si>
  <si>
    <t>本項は、原稿作成者、発表予定者等、チェックを受ける者が記載すること</t>
    <rPh sb="0" eb="2">
      <t>ホンコウ</t>
    </rPh>
    <rPh sb="4" eb="6">
      <t>ゲンコウ</t>
    </rPh>
    <rPh sb="6" eb="8">
      <t>サクセイ</t>
    </rPh>
    <rPh sb="8" eb="9">
      <t>シャ</t>
    </rPh>
    <phoneticPr fontId="2"/>
  </si>
  <si>
    <t>項　　目</t>
    <rPh sb="0" eb="1">
      <t>コウ</t>
    </rPh>
    <rPh sb="3" eb="4">
      <t>メ</t>
    </rPh>
    <phoneticPr fontId="2"/>
  </si>
  <si>
    <t>内　　容</t>
    <rPh sb="0" eb="1">
      <t>ナイ</t>
    </rPh>
    <rPh sb="3" eb="4">
      <t>カタチ</t>
    </rPh>
    <phoneticPr fontId="2"/>
  </si>
  <si>
    <t>発表タイトル</t>
    <phoneticPr fontId="2"/>
  </si>
  <si>
    <t>発表の種類(*1)</t>
  </si>
  <si>
    <t>国名</t>
    <rPh sb="0" eb="1">
      <t>クニ</t>
    </rPh>
    <rPh sb="1" eb="2">
      <t>メイ</t>
    </rPh>
    <phoneticPr fontId="2"/>
  </si>
  <si>
    <t>発表先</t>
    <phoneticPr fontId="2"/>
  </si>
  <si>
    <t>組織名(*2)</t>
    <rPh sb="0" eb="3">
      <t>ソシキメイ</t>
    </rPh>
    <phoneticPr fontId="2"/>
  </si>
  <si>
    <t>掲載誌名等(*3)</t>
    <rPh sb="0" eb="2">
      <t>ケイサイ</t>
    </rPh>
    <rPh sb="3" eb="4">
      <t>メイ</t>
    </rPh>
    <rPh sb="4" eb="5">
      <t>ナド</t>
    </rPh>
    <phoneticPr fontId="2"/>
  </si>
  <si>
    <t>発表予定時期(*4)</t>
    <rPh sb="0" eb="2">
      <t>ハッピョウ</t>
    </rPh>
    <rPh sb="2" eb="4">
      <t>ヨテイ</t>
    </rPh>
    <rPh sb="4" eb="6">
      <t>ジキ</t>
    </rPh>
    <phoneticPr fontId="2"/>
  </si>
  <si>
    <t>原稿作成者・発表者</t>
  </si>
  <si>
    <t>所属</t>
    <rPh sb="0" eb="2">
      <t>ショゾク</t>
    </rPh>
    <phoneticPr fontId="2"/>
  </si>
  <si>
    <t>氏名</t>
    <rPh sb="0" eb="2">
      <t>シメイ</t>
    </rPh>
    <phoneticPr fontId="2"/>
  </si>
  <si>
    <t>他社共同発表者</t>
    <rPh sb="0" eb="2">
      <t>タシャ</t>
    </rPh>
    <rPh sb="2" eb="4">
      <t>キョウドウ</t>
    </rPh>
    <rPh sb="4" eb="7">
      <t>ハッピョウシャ</t>
    </rPh>
    <phoneticPr fontId="2"/>
  </si>
  <si>
    <t>企業名</t>
    <rPh sb="0" eb="2">
      <t>キギョウ</t>
    </rPh>
    <rPh sb="2" eb="3">
      <t>メイ</t>
    </rPh>
    <phoneticPr fontId="2"/>
  </si>
  <si>
    <t>共同発表とする経緯</t>
    <rPh sb="0" eb="2">
      <t>キョウドウ</t>
    </rPh>
    <rPh sb="2" eb="4">
      <t>ハッピョウ</t>
    </rPh>
    <rPh sb="7" eb="9">
      <t>ケイイ</t>
    </rPh>
    <phoneticPr fontId="2"/>
  </si>
  <si>
    <t>発表の趣旨・目的</t>
    <rPh sb="0" eb="2">
      <t>ハッピョウ</t>
    </rPh>
    <rPh sb="3" eb="5">
      <t>シュシ</t>
    </rPh>
    <rPh sb="6" eb="8">
      <t>モクテキ</t>
    </rPh>
    <phoneticPr fontId="2"/>
  </si>
  <si>
    <t>(*1)　論文、雑誌への記事投稿、セミナー講演、展示会出展など</t>
    <rPh sb="24" eb="27">
      <t>テンジカイ</t>
    </rPh>
    <rPh sb="27" eb="29">
      <t>シュッテン</t>
    </rPh>
    <phoneticPr fontId="2"/>
  </si>
  <si>
    <t>(*2)　学会名、出版元、展示会主催者など</t>
    <rPh sb="9" eb="11">
      <t>シュッパン</t>
    </rPh>
    <rPh sb="11" eb="12">
      <t>モト</t>
    </rPh>
    <rPh sb="13" eb="16">
      <t>テンジカイ</t>
    </rPh>
    <rPh sb="16" eb="19">
      <t>シュサイシャ</t>
    </rPh>
    <phoneticPr fontId="2"/>
  </si>
  <si>
    <t>(*3)　掲載誌名・?年?月号、学会の研究会名／大会名、展示会名</t>
    <rPh sb="5" eb="7">
      <t>ケイサイ</t>
    </rPh>
    <rPh sb="8" eb="9">
      <t>メイ</t>
    </rPh>
    <rPh sb="11" eb="12">
      <t>ネン</t>
    </rPh>
    <rPh sb="13" eb="15">
      <t>ガツゴウ</t>
    </rPh>
    <rPh sb="16" eb="18">
      <t>ガッカイ</t>
    </rPh>
    <rPh sb="19" eb="22">
      <t>ケンキュウカイ</t>
    </rPh>
    <rPh sb="22" eb="23">
      <t>メイ</t>
    </rPh>
    <rPh sb="24" eb="26">
      <t>タイカイ</t>
    </rPh>
    <rPh sb="26" eb="27">
      <t>メイ</t>
    </rPh>
    <rPh sb="28" eb="31">
      <t>テンジカイ</t>
    </rPh>
    <rPh sb="31" eb="32">
      <t>メイ</t>
    </rPh>
    <phoneticPr fontId="2"/>
  </si>
  <si>
    <t>(*4)　雑誌等の発行予定日、セミナー開催日、展示会開催期間(開始日、終了日）</t>
    <rPh sb="5" eb="7">
      <t>ザッシ</t>
    </rPh>
    <rPh sb="7" eb="8">
      <t>ナド</t>
    </rPh>
    <rPh sb="9" eb="11">
      <t>ハッコウ</t>
    </rPh>
    <rPh sb="11" eb="14">
      <t>ヨテイビ</t>
    </rPh>
    <rPh sb="19" eb="22">
      <t>カイサイビ</t>
    </rPh>
    <rPh sb="23" eb="26">
      <t>テンジカイ</t>
    </rPh>
    <rPh sb="26" eb="28">
      <t>カイサイ</t>
    </rPh>
    <rPh sb="28" eb="30">
      <t>キカン</t>
    </rPh>
    <rPh sb="31" eb="34">
      <t>カイシビ</t>
    </rPh>
    <rPh sb="35" eb="38">
      <t>シュウリョウビ</t>
    </rPh>
    <phoneticPr fontId="2"/>
  </si>
  <si>
    <t>２．　チェック実施</t>
    <rPh sb="7" eb="9">
      <t>ジッシ</t>
    </rPh>
    <phoneticPr fontId="2"/>
  </si>
  <si>
    <t>原稿作成者／発表者によるチェックは無効とします。</t>
    <rPh sb="0" eb="2">
      <t>ゲンコウ</t>
    </rPh>
    <rPh sb="2" eb="4">
      <t>サクセイ</t>
    </rPh>
    <rPh sb="4" eb="5">
      <t>シャ</t>
    </rPh>
    <rPh sb="6" eb="9">
      <t>ハッピョウシャ</t>
    </rPh>
    <rPh sb="17" eb="19">
      <t>ムコウ</t>
    </rPh>
    <phoneticPr fontId="2"/>
  </si>
  <si>
    <t>チェックした対象物(*1)</t>
    <rPh sb="6" eb="8">
      <t>タイショウ</t>
    </rPh>
    <rPh sb="8" eb="9">
      <t>ブツ</t>
    </rPh>
    <phoneticPr fontId="2"/>
  </si>
  <si>
    <t>チェック実施日</t>
    <rPh sb="4" eb="7">
      <t>ジッシビ</t>
    </rPh>
    <phoneticPr fontId="2"/>
  </si>
  <si>
    <t>チェック実施者(*2)
(チェック責任者)</t>
    <rPh sb="4" eb="6">
      <t>ジッシ</t>
    </rPh>
    <rPh sb="6" eb="7">
      <t>シャ</t>
    </rPh>
    <rPh sb="17" eb="20">
      <t>セキニンシャ</t>
    </rPh>
    <phoneticPr fontId="2"/>
  </si>
  <si>
    <t>チェック実施範囲</t>
    <rPh sb="4" eb="6">
      <t>ジッシ</t>
    </rPh>
    <rPh sb="6" eb="8">
      <t>ハンイ</t>
    </rPh>
    <phoneticPr fontId="2"/>
  </si>
  <si>
    <t>　Ａ項－Ｈ項（含む、Ｇ項）</t>
    <rPh sb="2" eb="3">
      <t>コウ</t>
    </rPh>
    <rPh sb="5" eb="6">
      <t>コウ</t>
    </rPh>
    <rPh sb="7" eb="8">
      <t>フク</t>
    </rPh>
    <rPh sb="11" eb="12">
      <t>コウ</t>
    </rPh>
    <phoneticPr fontId="2"/>
  </si>
  <si>
    <t>所属</t>
    <phoneticPr fontId="2"/>
  </si>
  <si>
    <t>職位</t>
    <rPh sb="0" eb="2">
      <t>ショクイ</t>
    </rPh>
    <phoneticPr fontId="2"/>
  </si>
  <si>
    <t>補足事項など</t>
    <rPh sb="0" eb="2">
      <t>ホソク</t>
    </rPh>
    <rPh sb="2" eb="4">
      <t>ジコウ</t>
    </rPh>
    <phoneticPr fontId="2"/>
  </si>
  <si>
    <t>(*1) 記載例；「・・・論文の草稿」、「〇〇セミナーでの発表草稿」等</t>
    <rPh sb="29" eb="31">
      <t>ハッピョウ</t>
    </rPh>
    <rPh sb="31" eb="33">
      <t>ソウコウ</t>
    </rPh>
    <rPh sb="34" eb="35">
      <t>ナド</t>
    </rPh>
    <phoneticPr fontId="2"/>
  </si>
  <si>
    <t>(*2) 事業部長等重要な組織の長又は、事業部長等重要な組織の長から指示された者がチェックを実施すること</t>
    <rPh sb="5" eb="7">
      <t>ジギョウ</t>
    </rPh>
    <rPh sb="7" eb="9">
      <t>ブチョウ</t>
    </rPh>
    <rPh sb="9" eb="10">
      <t>ナド</t>
    </rPh>
    <rPh sb="10" eb="12">
      <t>ジュウヨウ</t>
    </rPh>
    <rPh sb="13" eb="15">
      <t>ソシキ</t>
    </rPh>
    <rPh sb="16" eb="17">
      <t>チョウ</t>
    </rPh>
    <rPh sb="17" eb="18">
      <t>マタ</t>
    </rPh>
    <rPh sb="20" eb="22">
      <t>ジギョウ</t>
    </rPh>
    <rPh sb="22" eb="24">
      <t>ブチョウ</t>
    </rPh>
    <rPh sb="24" eb="25">
      <t>ナド</t>
    </rPh>
    <rPh sb="25" eb="27">
      <t>ジュウヨウ</t>
    </rPh>
    <rPh sb="28" eb="30">
      <t>ソシキ</t>
    </rPh>
    <rPh sb="31" eb="32">
      <t>チョウ</t>
    </rPh>
    <rPh sb="34" eb="36">
      <t>シジ</t>
    </rPh>
    <rPh sb="39" eb="40">
      <t>モノ</t>
    </rPh>
    <rPh sb="46" eb="48">
      <t>ジッシ</t>
    </rPh>
    <phoneticPr fontId="2"/>
  </si>
  <si>
    <t>３．　チェック結果</t>
    <rPh sb="7" eb="9">
      <t>ケッカ</t>
    </rPh>
    <phoneticPr fontId="2"/>
  </si>
  <si>
    <t>個々のチェック結果について、以下の確認をします。</t>
    <rPh sb="0" eb="2">
      <t>ココ</t>
    </rPh>
    <rPh sb="7" eb="9">
      <t>ケッカ</t>
    </rPh>
    <rPh sb="14" eb="16">
      <t>イカ</t>
    </rPh>
    <rPh sb="17" eb="19">
      <t>カクニン</t>
    </rPh>
    <phoneticPr fontId="2"/>
  </si>
  <si>
    <t>チェック結果</t>
    <rPh sb="4" eb="6">
      <t>ケッカ</t>
    </rPh>
    <phoneticPr fontId="2"/>
  </si>
  <si>
    <t>対　　　　応</t>
    <rPh sb="0" eb="1">
      <t>タイ</t>
    </rPh>
    <rPh sb="5" eb="6">
      <t>オウ</t>
    </rPh>
    <phoneticPr fontId="2"/>
  </si>
  <si>
    <t>□</t>
    <phoneticPr fontId="2"/>
  </si>
  <si>
    <t>チェックがされていない項目です。■、◆、▼になるようチェックをして下さい。</t>
    <rPh sb="11" eb="13">
      <t>コウモク</t>
    </rPh>
    <rPh sb="33" eb="34">
      <t>クダ</t>
    </rPh>
    <phoneticPr fontId="2"/>
  </si>
  <si>
    <t>◆</t>
    <phoneticPr fontId="2"/>
  </si>
  <si>
    <t>添付資料の添付、又は、決裁文書への特記が必要とされるチェック結果です。指示事項に従って下さい。</t>
    <rPh sb="0" eb="2">
      <t>テンプ</t>
    </rPh>
    <rPh sb="2" eb="4">
      <t>シリョウ</t>
    </rPh>
    <rPh sb="5" eb="7">
      <t>テンプ</t>
    </rPh>
    <rPh sb="8" eb="9">
      <t>マタ</t>
    </rPh>
    <rPh sb="11" eb="13">
      <t>ケッサイ</t>
    </rPh>
    <rPh sb="13" eb="15">
      <t>ブンショ</t>
    </rPh>
    <rPh sb="17" eb="19">
      <t>トッキ</t>
    </rPh>
    <rPh sb="20" eb="22">
      <t>ヒツヨウ</t>
    </rPh>
    <rPh sb="30" eb="32">
      <t>ケッカ</t>
    </rPh>
    <rPh sb="35" eb="37">
      <t>シジ</t>
    </rPh>
    <rPh sb="37" eb="39">
      <t>ジコウ</t>
    </rPh>
    <rPh sb="40" eb="41">
      <t>シタガ</t>
    </rPh>
    <rPh sb="43" eb="44">
      <t>クダ</t>
    </rPh>
    <phoneticPr fontId="2"/>
  </si>
  <si>
    <t>■又は▼</t>
    <rPh sb="1" eb="2">
      <t>マタ</t>
    </rPh>
    <phoneticPr fontId="2"/>
  </si>
  <si>
    <t>特に、リスク要因は無いと判断されます。</t>
    <rPh sb="0" eb="1">
      <t>トク</t>
    </rPh>
    <rPh sb="6" eb="8">
      <t>ヨウイン</t>
    </rPh>
    <rPh sb="9" eb="10">
      <t>ナ</t>
    </rPh>
    <rPh sb="12" eb="14">
      <t>ハンダン</t>
    </rPh>
    <phoneticPr fontId="2"/>
  </si>
  <si>
    <r>
      <rPr>
        <sz val="11"/>
        <color rgb="FFFF0000"/>
        <rFont val="游ゴシック"/>
        <family val="3"/>
        <charset val="128"/>
        <scheme val="minor"/>
      </rPr>
      <t>注</t>
    </r>
    <r>
      <rPr>
        <sz val="11"/>
        <color theme="1"/>
        <rFont val="游ゴシック"/>
        <family val="2"/>
        <charset val="128"/>
        <scheme val="minor"/>
      </rPr>
      <t>　</t>
    </r>
    <r>
      <rPr>
        <sz val="11"/>
        <color rgb="FFFF0000"/>
        <rFont val="游ゴシック"/>
        <family val="3"/>
        <charset val="128"/>
        <scheme val="minor"/>
      </rPr>
      <t>「チェック結果」欄は、「個別チェック」シートでの結果が自動反映されます。</t>
    </r>
    <rPh sb="0" eb="1">
      <t>チュウ</t>
    </rPh>
    <rPh sb="7" eb="9">
      <t>ケッカ</t>
    </rPh>
    <rPh sb="10" eb="11">
      <t>ラン</t>
    </rPh>
    <rPh sb="14" eb="16">
      <t>コベツ</t>
    </rPh>
    <rPh sb="26" eb="28">
      <t>ケッカ</t>
    </rPh>
    <rPh sb="29" eb="31">
      <t>ジドウ</t>
    </rPh>
    <rPh sb="31" eb="33">
      <t>ハンエイ</t>
    </rPh>
    <phoneticPr fontId="2"/>
  </si>
  <si>
    <t>項　　　目</t>
    <rPh sb="0" eb="1">
      <t>コウ</t>
    </rPh>
    <rPh sb="4" eb="5">
      <t>メ</t>
    </rPh>
    <phoneticPr fontId="2"/>
  </si>
  <si>
    <r>
      <rPr>
        <b/>
        <sz val="11"/>
        <color theme="1"/>
        <rFont val="游ゴシック"/>
        <family val="3"/>
        <charset val="128"/>
        <scheme val="minor"/>
      </rPr>
      <t>チェック結果</t>
    </r>
    <r>
      <rPr>
        <sz val="11"/>
        <color theme="1"/>
        <rFont val="游ゴシック"/>
        <family val="2"/>
        <charset val="128"/>
        <scheme val="minor"/>
      </rPr>
      <t xml:space="preserve">
（注）</t>
    </r>
    <rPh sb="4" eb="6">
      <t>ケッカ</t>
    </rPh>
    <rPh sb="8" eb="9">
      <t>チュウ</t>
    </rPh>
    <phoneticPr fontId="2"/>
  </si>
  <si>
    <t>チェック事項概要</t>
    <rPh sb="4" eb="6">
      <t>ジコウ</t>
    </rPh>
    <rPh sb="6" eb="8">
      <t>ガイヨウ</t>
    </rPh>
    <phoneticPr fontId="2"/>
  </si>
  <si>
    <t>指示事項</t>
    <rPh sb="0" eb="2">
      <t>シジ</t>
    </rPh>
    <rPh sb="2" eb="4">
      <t>ジコウ</t>
    </rPh>
    <phoneticPr fontId="2"/>
  </si>
  <si>
    <t>Ａ　他社情報保護</t>
    <rPh sb="2" eb="4">
      <t>タシャ</t>
    </rPh>
    <rPh sb="4" eb="6">
      <t>ジョウホウ</t>
    </rPh>
    <rPh sb="6" eb="8">
      <t>ホゴ</t>
    </rPh>
    <phoneticPr fontId="2"/>
  </si>
  <si>
    <t>-</t>
    <phoneticPr fontId="2"/>
  </si>
  <si>
    <t>Ａ１</t>
    <phoneticPr fontId="2"/>
  </si>
  <si>
    <t>他社機密情報の記載</t>
    <rPh sb="0" eb="2">
      <t>タシャ</t>
    </rPh>
    <rPh sb="2" eb="4">
      <t>キミツ</t>
    </rPh>
    <rPh sb="4" eb="6">
      <t>ジョウホウ</t>
    </rPh>
    <rPh sb="7" eb="9">
      <t>キサイ</t>
    </rPh>
    <phoneticPr fontId="2"/>
  </si>
  <si>
    <t>Ａ２</t>
    <phoneticPr fontId="2"/>
  </si>
  <si>
    <t>顧客システムの構成記載</t>
    <rPh sb="0" eb="2">
      <t>コキャク</t>
    </rPh>
    <rPh sb="7" eb="9">
      <t>コウセイ</t>
    </rPh>
    <rPh sb="9" eb="11">
      <t>キサイ</t>
    </rPh>
    <phoneticPr fontId="2"/>
  </si>
  <si>
    <t>Ｂ　自社情報保護</t>
    <rPh sb="2" eb="4">
      <t>ジシャ</t>
    </rPh>
    <rPh sb="4" eb="6">
      <t>ジョウホウ</t>
    </rPh>
    <rPh sb="6" eb="8">
      <t>ホゴ</t>
    </rPh>
    <phoneticPr fontId="2"/>
  </si>
  <si>
    <t>Ｂ１</t>
    <phoneticPr fontId="2"/>
  </si>
  <si>
    <t>当社機密情報の記載</t>
    <rPh sb="0" eb="2">
      <t>トウシャ</t>
    </rPh>
    <rPh sb="2" eb="4">
      <t>キミツ</t>
    </rPh>
    <rPh sb="4" eb="6">
      <t>ジョウホウ</t>
    </rPh>
    <rPh sb="7" eb="9">
      <t>キサイ</t>
    </rPh>
    <phoneticPr fontId="2"/>
  </si>
  <si>
    <t>Ｂ２</t>
    <phoneticPr fontId="2"/>
  </si>
  <si>
    <t>未公開技術の権利取得</t>
    <rPh sb="0" eb="3">
      <t>ミコウカイ</t>
    </rPh>
    <rPh sb="3" eb="5">
      <t>ギジュツ</t>
    </rPh>
    <rPh sb="6" eb="8">
      <t>ケンリ</t>
    </rPh>
    <rPh sb="8" eb="10">
      <t>シュトク</t>
    </rPh>
    <phoneticPr fontId="2"/>
  </si>
  <si>
    <t>Ｃ　公表後の権利帰属</t>
    <rPh sb="2" eb="4">
      <t>コウヒョウ</t>
    </rPh>
    <rPh sb="4" eb="5">
      <t>ゴ</t>
    </rPh>
    <rPh sb="6" eb="8">
      <t>ケンリ</t>
    </rPh>
    <rPh sb="8" eb="10">
      <t>キゾク</t>
    </rPh>
    <phoneticPr fontId="2"/>
  </si>
  <si>
    <t>Ｃ１</t>
    <phoneticPr fontId="2"/>
  </si>
  <si>
    <t>公表後の著作権帰属先</t>
    <rPh sb="0" eb="2">
      <t>コウヒョウ</t>
    </rPh>
    <rPh sb="2" eb="3">
      <t>ゴ</t>
    </rPh>
    <rPh sb="4" eb="7">
      <t>チョサクケン</t>
    </rPh>
    <rPh sb="7" eb="9">
      <t>キゾク</t>
    </rPh>
    <rPh sb="9" eb="10">
      <t>サキ</t>
    </rPh>
    <phoneticPr fontId="2"/>
  </si>
  <si>
    <t>Ｄ　他社権利の侵害防止</t>
    <rPh sb="2" eb="4">
      <t>タシャ</t>
    </rPh>
    <rPh sb="4" eb="6">
      <t>ケンリ</t>
    </rPh>
    <rPh sb="7" eb="9">
      <t>シンガイ</t>
    </rPh>
    <rPh sb="9" eb="11">
      <t>ボウシ</t>
    </rPh>
    <phoneticPr fontId="2"/>
  </si>
  <si>
    <t>Ｄ１</t>
    <phoneticPr fontId="2"/>
  </si>
  <si>
    <t>他社(者)著作物の利用</t>
    <phoneticPr fontId="2"/>
  </si>
  <si>
    <t>Ｄ２</t>
    <phoneticPr fontId="2"/>
  </si>
  <si>
    <t>引用</t>
    <phoneticPr fontId="2"/>
  </si>
  <si>
    <t>Ｄ３</t>
    <phoneticPr fontId="2"/>
  </si>
  <si>
    <t>改変利用</t>
    <phoneticPr fontId="2"/>
  </si>
  <si>
    <t>Ｅ　公表の形態</t>
    <rPh sb="2" eb="4">
      <t>コウヒョウ</t>
    </rPh>
    <rPh sb="5" eb="7">
      <t>ケイタイ</t>
    </rPh>
    <phoneticPr fontId="2"/>
  </si>
  <si>
    <t>Ｅ１</t>
    <phoneticPr fontId="2"/>
  </si>
  <si>
    <t>職務著作(個人名の記載）</t>
    <rPh sb="0" eb="2">
      <t>ショクム</t>
    </rPh>
    <rPh sb="2" eb="4">
      <t>チョサク</t>
    </rPh>
    <rPh sb="5" eb="8">
      <t>コジンメイ</t>
    </rPh>
    <rPh sb="9" eb="11">
      <t>キサイ</t>
    </rPh>
    <phoneticPr fontId="2"/>
  </si>
  <si>
    <t>Ｅ２</t>
    <phoneticPr fontId="2"/>
  </si>
  <si>
    <t>社名表記</t>
    <rPh sb="0" eb="2">
      <t>シャメイ</t>
    </rPh>
    <rPh sb="2" eb="4">
      <t>ヒョウキ</t>
    </rPh>
    <phoneticPr fontId="2"/>
  </si>
  <si>
    <t>Ｅ３</t>
    <phoneticPr fontId="2"/>
  </si>
  <si>
    <t>自社商標表記</t>
    <rPh sb="0" eb="2">
      <t>ジシャ</t>
    </rPh>
    <rPh sb="2" eb="4">
      <t>ショウヒョウ</t>
    </rPh>
    <rPh sb="4" eb="6">
      <t>ヒョウキ</t>
    </rPh>
    <phoneticPr fontId="2"/>
  </si>
  <si>
    <t>Ｅ４</t>
    <phoneticPr fontId="2"/>
  </si>
  <si>
    <t>他社商標表記</t>
    <rPh sb="0" eb="2">
      <t>タシャ</t>
    </rPh>
    <rPh sb="2" eb="4">
      <t>ショウヒョウ</t>
    </rPh>
    <rPh sb="4" eb="6">
      <t>ヒョウキ</t>
    </rPh>
    <phoneticPr fontId="2"/>
  </si>
  <si>
    <t>Ｆ　個人情報保護</t>
    <rPh sb="2" eb="4">
      <t>コジン</t>
    </rPh>
    <rPh sb="4" eb="6">
      <t>ジョウホウ</t>
    </rPh>
    <rPh sb="6" eb="8">
      <t>ホゴ</t>
    </rPh>
    <phoneticPr fontId="2"/>
  </si>
  <si>
    <t>Ｆ１</t>
    <phoneticPr fontId="2"/>
  </si>
  <si>
    <t>個人情報</t>
    <rPh sb="0" eb="2">
      <t>コジン</t>
    </rPh>
    <rPh sb="2" eb="4">
      <t>ジョウホウ</t>
    </rPh>
    <phoneticPr fontId="2"/>
  </si>
  <si>
    <t>Ｇ　安全保障貿易管理</t>
    <rPh sb="2" eb="4">
      <t>アンゼン</t>
    </rPh>
    <rPh sb="4" eb="6">
      <t>ホショウ</t>
    </rPh>
    <rPh sb="6" eb="8">
      <t>ボウエキ</t>
    </rPh>
    <rPh sb="8" eb="10">
      <t>カンリ</t>
    </rPh>
    <phoneticPr fontId="2"/>
  </si>
  <si>
    <t>Ｇ１</t>
    <phoneticPr fontId="2"/>
  </si>
  <si>
    <t>公知性</t>
    <rPh sb="0" eb="2">
      <t>コウチ</t>
    </rPh>
    <rPh sb="2" eb="3">
      <t>セイ</t>
    </rPh>
    <phoneticPr fontId="2"/>
  </si>
  <si>
    <t>G２</t>
    <phoneticPr fontId="2"/>
  </si>
  <si>
    <t>その他の取引有無</t>
    <rPh sb="2" eb="3">
      <t>タ</t>
    </rPh>
    <rPh sb="4" eb="6">
      <t>トリヒキ</t>
    </rPh>
    <rPh sb="6" eb="8">
      <t>ウム</t>
    </rPh>
    <phoneticPr fontId="2"/>
  </si>
  <si>
    <t>Ｈ　添付資料確認</t>
    <rPh sb="2" eb="4">
      <t>テンプ</t>
    </rPh>
    <rPh sb="4" eb="6">
      <t>シリョウ</t>
    </rPh>
    <rPh sb="6" eb="8">
      <t>カクニン</t>
    </rPh>
    <phoneticPr fontId="2"/>
  </si>
  <si>
    <t>補足・注記事項</t>
    <rPh sb="0" eb="2">
      <t>ホソク</t>
    </rPh>
    <rPh sb="3" eb="5">
      <t>チュウキ</t>
    </rPh>
    <rPh sb="5" eb="7">
      <t>ジコウ</t>
    </rPh>
    <phoneticPr fontId="2"/>
  </si>
  <si>
    <r>
      <t>外部発表_広告標チェックシート(論文・書籍・技術解説用） 　：　</t>
    </r>
    <r>
      <rPr>
        <sz val="18"/>
        <color rgb="FF0000FF"/>
        <rFont val="游ゴシック"/>
        <family val="3"/>
        <charset val="128"/>
        <scheme val="minor"/>
      </rPr>
      <t>個別確認シート</t>
    </r>
    <rPh sb="0" eb="2">
      <t>ガイブ</t>
    </rPh>
    <rPh sb="2" eb="4">
      <t>ハッピョウ</t>
    </rPh>
    <rPh sb="5" eb="7">
      <t>コウコク</t>
    </rPh>
    <rPh sb="7" eb="8">
      <t>ヒョウ</t>
    </rPh>
    <rPh sb="32" eb="34">
      <t>コベツ</t>
    </rPh>
    <rPh sb="34" eb="36">
      <t>カクニン</t>
    </rPh>
    <phoneticPr fontId="2"/>
  </si>
  <si>
    <r>
      <t>確認方法
１)各項番の「チェック内容」について確認（Ｙｅｓ又はＮｏ）し、</t>
    </r>
    <r>
      <rPr>
        <b/>
        <u/>
        <sz val="12"/>
        <color rgb="FFFF0000"/>
        <rFont val="游ゴシック"/>
        <family val="3"/>
        <charset val="128"/>
        <scheme val="minor"/>
      </rPr>
      <t>「サブチェック結果」欄の該当欄を、「●」を入力（メニュー選択）し</t>
    </r>
    <r>
      <rPr>
        <sz val="12"/>
        <color theme="1"/>
        <rFont val="游ゴシック"/>
        <family val="3"/>
        <charset val="128"/>
        <scheme val="minor"/>
      </rPr>
      <t>、チェック内容欄に記載の</t>
    </r>
    <r>
      <rPr>
        <b/>
        <u/>
        <sz val="12"/>
        <color rgb="FFFF0000"/>
        <rFont val="游ゴシック"/>
        <family val="3"/>
        <charset val="128"/>
        <scheme val="minor"/>
      </rPr>
      <t>「指示事項」に従って下さい</t>
    </r>
    <r>
      <rPr>
        <sz val="12"/>
        <color theme="1"/>
        <rFont val="游ゴシック"/>
        <family val="3"/>
        <charset val="128"/>
        <scheme val="minor"/>
      </rPr>
      <t>。
２）チェックに関して、補足などコメントがある場合は、右端のコメント欄に記載して下さい。
３）「サブチェック結果」の選択により、「チェック結果」は自動的に設定されます。</t>
    </r>
    <rPh sb="0" eb="2">
      <t>カクニン</t>
    </rPh>
    <rPh sb="2" eb="4">
      <t>ホウホウ</t>
    </rPh>
    <rPh sb="7" eb="8">
      <t>カク</t>
    </rPh>
    <rPh sb="8" eb="9">
      <t>コウ</t>
    </rPh>
    <rPh sb="9" eb="10">
      <t>バン</t>
    </rPh>
    <rPh sb="16" eb="18">
      <t>ナイヨウ</t>
    </rPh>
    <rPh sb="23" eb="25">
      <t>カクニン</t>
    </rPh>
    <rPh sb="29" eb="30">
      <t>マタ</t>
    </rPh>
    <rPh sb="43" eb="45">
      <t>ケッカ</t>
    </rPh>
    <rPh sb="46" eb="47">
      <t>ラン</t>
    </rPh>
    <rPh sb="48" eb="50">
      <t>ガイトウ</t>
    </rPh>
    <rPh sb="50" eb="51">
      <t>ラン</t>
    </rPh>
    <rPh sb="57" eb="59">
      <t>ニュウリョク</t>
    </rPh>
    <rPh sb="64" eb="66">
      <t>センタク</t>
    </rPh>
    <rPh sb="73" eb="75">
      <t>ナイヨウ</t>
    </rPh>
    <rPh sb="75" eb="76">
      <t>ラン</t>
    </rPh>
    <rPh sb="77" eb="79">
      <t>キサイ</t>
    </rPh>
    <rPh sb="81" eb="83">
      <t>シジ</t>
    </rPh>
    <rPh sb="83" eb="85">
      <t>ジコウ</t>
    </rPh>
    <rPh sb="87" eb="88">
      <t>シタガ</t>
    </rPh>
    <rPh sb="90" eb="91">
      <t>クダ</t>
    </rPh>
    <rPh sb="102" eb="103">
      <t>カン</t>
    </rPh>
    <rPh sb="106" eb="108">
      <t>ホソク</t>
    </rPh>
    <rPh sb="117" eb="119">
      <t>バアイ</t>
    </rPh>
    <rPh sb="121" eb="123">
      <t>ミギハシ</t>
    </rPh>
    <rPh sb="128" eb="129">
      <t>ラン</t>
    </rPh>
    <rPh sb="130" eb="132">
      <t>キサイ</t>
    </rPh>
    <rPh sb="134" eb="135">
      <t>クダ</t>
    </rPh>
    <phoneticPr fontId="2"/>
  </si>
  <si>
    <t>Ａ　他社情報保護（契約遵守）</t>
    <rPh sb="2" eb="4">
      <t>タシャ</t>
    </rPh>
    <rPh sb="4" eb="6">
      <t>ジョウホウ</t>
    </rPh>
    <rPh sb="6" eb="8">
      <t>ホゴ</t>
    </rPh>
    <rPh sb="9" eb="11">
      <t>ケイヤク</t>
    </rPh>
    <rPh sb="11" eb="13">
      <t>ジュンシュ</t>
    </rPh>
    <phoneticPr fontId="2"/>
  </si>
  <si>
    <t>他社から機密情報として受領した情報の扱いについて、契約/受領条件を満足していることを確認する</t>
    <phoneticPr fontId="2"/>
  </si>
  <si>
    <t>サブチェック結果</t>
    <rPh sb="6" eb="8">
      <t>ケッカ</t>
    </rPh>
    <phoneticPr fontId="2"/>
  </si>
  <si>
    <t>チェック内容</t>
    <rPh sb="4" eb="6">
      <t>ナイヨウ</t>
    </rPh>
    <phoneticPr fontId="2"/>
  </si>
  <si>
    <t>コメント</t>
    <phoneticPr fontId="2"/>
  </si>
  <si>
    <r>
      <rPr>
        <b/>
        <sz val="11"/>
        <color theme="1"/>
        <rFont val="游ゴシック"/>
        <family val="3"/>
        <charset val="128"/>
        <scheme val="minor"/>
      </rPr>
      <t>他社から機密情報として受領した営業情報／技術情報／ノウハウ情報が記載されているか？</t>
    </r>
    <r>
      <rPr>
        <sz val="11"/>
        <color theme="1"/>
        <rFont val="游ゴシック"/>
        <family val="2"/>
        <charset val="128"/>
        <scheme val="minor"/>
      </rPr>
      <t xml:space="preserve">
Yes、Noいずれか該当する項の○を●にする。</t>
    </r>
    <rPh sb="0" eb="2">
      <t>タシャ</t>
    </rPh>
    <rPh sb="4" eb="6">
      <t>キミツ</t>
    </rPh>
    <rPh sb="6" eb="8">
      <t>ジョウホウ</t>
    </rPh>
    <rPh sb="11" eb="13">
      <t>ジュリョウ</t>
    </rPh>
    <rPh sb="15" eb="17">
      <t>エイギョウ</t>
    </rPh>
    <rPh sb="17" eb="19">
      <t>ジョウホウ</t>
    </rPh>
    <rPh sb="20" eb="22">
      <t>ギジュツ</t>
    </rPh>
    <rPh sb="22" eb="24">
      <t>ジョウホウ</t>
    </rPh>
    <rPh sb="29" eb="31">
      <t>ジョウホウ</t>
    </rPh>
    <rPh sb="32" eb="34">
      <t>キサイ</t>
    </rPh>
    <rPh sb="52" eb="54">
      <t>ガイトウ</t>
    </rPh>
    <rPh sb="56" eb="57">
      <t>コウ</t>
    </rPh>
    <phoneticPr fontId="2"/>
  </si>
  <si>
    <t>　No</t>
    <phoneticPr fontId="2"/>
  </si>
  <si>
    <r>
      <rPr>
        <b/>
        <sz val="11"/>
        <color theme="1"/>
        <rFont val="游ゴシック"/>
        <family val="3"/>
        <charset val="128"/>
        <scheme val="minor"/>
      </rPr>
      <t>記載が無い</t>
    </r>
    <r>
      <rPr>
        <sz val="11"/>
        <color theme="1"/>
        <rFont val="游ゴシック"/>
        <family val="2"/>
        <charset val="128"/>
        <scheme val="minor"/>
      </rPr>
      <t>。
＝＞　Ａ２項のチェックに進む。</t>
    </r>
    <phoneticPr fontId="2"/>
  </si>
  <si>
    <t>　Yes</t>
    <phoneticPr fontId="2"/>
  </si>
  <si>
    <r>
      <rPr>
        <b/>
        <sz val="11"/>
        <rFont val="游ゴシック"/>
        <family val="3"/>
        <charset val="128"/>
        <scheme val="minor"/>
      </rPr>
      <t>記載しているが、</t>
    </r>
    <r>
      <rPr>
        <b/>
        <sz val="11"/>
        <color rgb="FFFF0000"/>
        <rFont val="游ゴシック"/>
        <family val="3"/>
        <charset val="128"/>
        <scheme val="minor"/>
      </rPr>
      <t>当該他社からの承諾文書を得ている</t>
    </r>
    <r>
      <rPr>
        <sz val="11"/>
        <color theme="1"/>
        <rFont val="游ゴシック"/>
        <family val="3"/>
        <charset val="128"/>
        <scheme val="minor"/>
      </rPr>
      <t>（口頭での許諾では不足です。）</t>
    </r>
    <r>
      <rPr>
        <b/>
        <sz val="11"/>
        <color theme="1"/>
        <rFont val="游ゴシック"/>
        <family val="3"/>
        <charset val="128"/>
        <scheme val="minor"/>
      </rPr>
      <t>。</t>
    </r>
    <r>
      <rPr>
        <sz val="11"/>
        <color theme="1"/>
        <rFont val="游ゴシック"/>
        <family val="2"/>
        <charset val="128"/>
        <scheme val="minor"/>
      </rPr>
      <t xml:space="preserve">
＝＞　Ａ２項のチェックに進む。</t>
    </r>
    <rPh sb="0" eb="2">
      <t>キサイ</t>
    </rPh>
    <rPh sb="20" eb="21">
      <t>エ</t>
    </rPh>
    <phoneticPr fontId="2"/>
  </si>
  <si>
    <r>
      <rPr>
        <b/>
        <sz val="11"/>
        <color theme="1"/>
        <rFont val="游ゴシック"/>
        <family val="3"/>
        <charset val="128"/>
        <scheme val="minor"/>
      </rPr>
      <t>当社が受注開発したシステムの機能・構成等を事例として記載するか？</t>
    </r>
    <r>
      <rPr>
        <sz val="11"/>
        <color theme="1"/>
        <rFont val="游ゴシック"/>
        <family val="2"/>
        <charset val="128"/>
        <scheme val="minor"/>
      </rPr>
      <t xml:space="preserve">
Yes、Noいずれか該当する項の○を●にする。</t>
    </r>
    <rPh sb="26" eb="28">
      <t>キサイ</t>
    </rPh>
    <phoneticPr fontId="2"/>
  </si>
  <si>
    <r>
      <rPr>
        <b/>
        <sz val="11"/>
        <color theme="1"/>
        <rFont val="游ゴシック"/>
        <family val="3"/>
        <charset val="128"/>
        <scheme val="minor"/>
      </rPr>
      <t>記載していない（</t>
    </r>
    <r>
      <rPr>
        <b/>
        <sz val="11"/>
        <color rgb="FFFF0000"/>
        <rFont val="游ゴシック"/>
        <family val="3"/>
        <charset val="128"/>
        <scheme val="minor"/>
      </rPr>
      <t>発注元との関係を特定できない内容、形態にしている場合も含む</t>
    </r>
    <r>
      <rPr>
        <b/>
        <sz val="11"/>
        <color theme="1"/>
        <rFont val="游ゴシック"/>
        <family val="3"/>
        <charset val="128"/>
        <scheme val="minor"/>
      </rPr>
      <t>）。</t>
    </r>
    <r>
      <rPr>
        <sz val="11"/>
        <color theme="1"/>
        <rFont val="游ゴシック"/>
        <family val="2"/>
        <charset val="128"/>
        <scheme val="minor"/>
      </rPr>
      <t xml:space="preserve">
＝＞　Ｂ項のチェックに進む。</t>
    </r>
    <rPh sb="0" eb="2">
      <t>キサイ</t>
    </rPh>
    <rPh sb="32" eb="34">
      <t>バアイ</t>
    </rPh>
    <rPh sb="35" eb="36">
      <t>フク</t>
    </rPh>
    <phoneticPr fontId="2"/>
  </si>
  <si>
    <t xml:space="preserve">  Yes</t>
    <phoneticPr fontId="2"/>
  </si>
  <si>
    <r>
      <rPr>
        <b/>
        <sz val="10.5"/>
        <rFont val="ＭＳ ゴシック"/>
        <family val="3"/>
        <charset val="128"/>
      </rPr>
      <t>記載しているが、</t>
    </r>
    <r>
      <rPr>
        <b/>
        <sz val="10.5"/>
        <color rgb="FFFF0000"/>
        <rFont val="ＭＳ ゴシック"/>
        <family val="3"/>
        <charset val="128"/>
      </rPr>
      <t>発注元から、内容、媒体、時期について文書による承諾を得ている</t>
    </r>
    <r>
      <rPr>
        <sz val="10.5"/>
        <color theme="1"/>
        <rFont val="ＭＳ ゴシック"/>
        <family val="3"/>
        <charset val="128"/>
      </rPr>
      <t>（口頭での許諾では不足です。）</t>
    </r>
    <r>
      <rPr>
        <b/>
        <sz val="10.5"/>
        <color theme="1"/>
        <rFont val="ＭＳ ゴシック"/>
        <family val="3"/>
        <charset val="128"/>
      </rPr>
      <t>。</t>
    </r>
    <r>
      <rPr>
        <sz val="10.5"/>
        <color theme="1"/>
        <rFont val="ＭＳ ゴシック"/>
        <family val="3"/>
        <charset val="128"/>
      </rPr>
      <t xml:space="preserve">
＝＞　Ｂ項のチェックに進む。</t>
    </r>
    <rPh sb="0" eb="2">
      <t>キサイ</t>
    </rPh>
    <rPh sb="17" eb="19">
      <t>バイタイ</t>
    </rPh>
    <rPh sb="20" eb="22">
      <t>ジキ</t>
    </rPh>
    <rPh sb="39" eb="41">
      <t>コウトウ</t>
    </rPh>
    <rPh sb="43" eb="45">
      <t>キョダク</t>
    </rPh>
    <rPh sb="47" eb="49">
      <t>フソク</t>
    </rPh>
    <phoneticPr fontId="2"/>
  </si>
  <si>
    <t>Ｂ　自社情報保護</t>
    <phoneticPr fontId="2"/>
  </si>
  <si>
    <t>当社の機密情報(営業情報、技術情報、ノウハウ情報）が保護、権利確保できていること</t>
    <rPh sb="10" eb="12">
      <t>ジョウホウ</t>
    </rPh>
    <phoneticPr fontId="2"/>
  </si>
  <si>
    <t>営業情報保護</t>
    <rPh sb="0" eb="2">
      <t>エイギョウ</t>
    </rPh>
    <rPh sb="2" eb="4">
      <t>ジョウホウ</t>
    </rPh>
    <rPh sb="4" eb="6">
      <t>ホゴ</t>
    </rPh>
    <phoneticPr fontId="2"/>
  </si>
  <si>
    <r>
      <rPr>
        <b/>
        <sz val="11"/>
        <color theme="1"/>
        <rFont val="游ゴシック"/>
        <family val="3"/>
        <charset val="128"/>
        <scheme val="minor"/>
      </rPr>
      <t>当社の未公開の営業情報を記載しているか？</t>
    </r>
    <r>
      <rPr>
        <sz val="11"/>
        <color theme="1"/>
        <rFont val="游ゴシック"/>
        <family val="2"/>
        <charset val="128"/>
        <scheme val="minor"/>
      </rPr>
      <t xml:space="preserve">
No,Yes（承諾有）,Yes（承諾無し）いずれか該当する項の○を●にする。</t>
    </r>
    <rPh sb="0" eb="2">
      <t>トウシャ</t>
    </rPh>
    <rPh sb="3" eb="6">
      <t>ミコウカイ</t>
    </rPh>
    <rPh sb="9" eb="11">
      <t>ジョウホウ</t>
    </rPh>
    <rPh sb="28" eb="30">
      <t>ショウダク</t>
    </rPh>
    <rPh sb="30" eb="31">
      <t>アリ</t>
    </rPh>
    <rPh sb="37" eb="39">
      <t>ショウダク</t>
    </rPh>
    <rPh sb="39" eb="40">
      <t>ナ</t>
    </rPh>
    <phoneticPr fontId="2"/>
  </si>
  <si>
    <t>　　No</t>
    <phoneticPr fontId="2"/>
  </si>
  <si>
    <r>
      <rPr>
        <b/>
        <sz val="11"/>
        <color theme="1"/>
        <rFont val="游ゴシック"/>
        <family val="3"/>
        <charset val="128"/>
        <scheme val="minor"/>
      </rPr>
      <t>未公開の営業情報を記載していない。</t>
    </r>
    <r>
      <rPr>
        <sz val="11"/>
        <color theme="1"/>
        <rFont val="游ゴシック"/>
        <family val="2"/>
        <charset val="128"/>
        <scheme val="minor"/>
      </rPr>
      <t xml:space="preserve">
＝＞　Ｂ２項のチェックに進む。</t>
    </r>
    <rPh sb="0" eb="3">
      <t>ミコウカイ</t>
    </rPh>
    <phoneticPr fontId="2"/>
  </si>
  <si>
    <t>　　Yes</t>
    <phoneticPr fontId="2"/>
  </si>
  <si>
    <r>
      <rPr>
        <b/>
        <sz val="11"/>
        <color theme="1"/>
        <rFont val="游ゴシック"/>
        <family val="3"/>
        <charset val="128"/>
        <scheme val="minor"/>
      </rPr>
      <t>未公開の営業情報を記載しているが、</t>
    </r>
    <r>
      <rPr>
        <b/>
        <sz val="11"/>
        <color rgb="FFFF0000"/>
        <rFont val="游ゴシック"/>
        <family val="3"/>
        <charset val="128"/>
        <scheme val="minor"/>
      </rPr>
      <t>公開する理由（報道発表、プロモーション等）があり、社内関連組織（当該営業情報の保有部門）から承諾を得ている。</t>
    </r>
    <r>
      <rPr>
        <sz val="11"/>
        <color theme="1"/>
        <rFont val="游ゴシック"/>
        <family val="2"/>
        <charset val="128"/>
        <scheme val="minor"/>
      </rPr>
      <t xml:space="preserve">
＝＞　Ｂ２項のチェックに進む。</t>
    </r>
    <rPh sb="0" eb="3">
      <t>ミコウカイ</t>
    </rPh>
    <rPh sb="24" eb="26">
      <t>ホウドウ</t>
    </rPh>
    <rPh sb="26" eb="28">
      <t>ハッピョウ</t>
    </rPh>
    <rPh sb="36" eb="37">
      <t>ナド</t>
    </rPh>
    <rPh sb="53" eb="55">
      <t>ジョウホウ</t>
    </rPh>
    <phoneticPr fontId="2"/>
  </si>
  <si>
    <t>ノウハウ保護</t>
    <rPh sb="4" eb="6">
      <t>ホゴ</t>
    </rPh>
    <phoneticPr fontId="2"/>
  </si>
  <si>
    <r>
      <rPr>
        <b/>
        <sz val="11"/>
        <color theme="1"/>
        <rFont val="游ゴシック"/>
        <family val="3"/>
        <charset val="128"/>
        <scheme val="minor"/>
      </rPr>
      <t>技術情報、ノウハウ情報を公表する場合、当社権利として確保するために特許出願がされている、又は特許出願の手続きが進められているか？</t>
    </r>
    <r>
      <rPr>
        <sz val="11"/>
        <color theme="1"/>
        <rFont val="游ゴシック"/>
        <family val="2"/>
        <charset val="128"/>
        <scheme val="minor"/>
      </rPr>
      <t xml:space="preserve">
Yes,Noいずれか該当する項の○を●にする。</t>
    </r>
    <phoneticPr fontId="2"/>
  </si>
  <si>
    <t>　　Yes　</t>
    <phoneticPr fontId="2"/>
  </si>
  <si>
    <r>
      <rPr>
        <b/>
        <sz val="11"/>
        <color theme="1"/>
        <rFont val="游ゴシック"/>
        <family val="3"/>
        <charset val="128"/>
        <scheme val="minor"/>
      </rPr>
      <t>発表予定内容について</t>
    </r>
    <r>
      <rPr>
        <sz val="11"/>
        <color theme="1"/>
        <rFont val="游ゴシック"/>
        <family val="3"/>
        <charset val="128"/>
        <scheme val="minor"/>
      </rPr>
      <t>、</t>
    </r>
    <r>
      <rPr>
        <b/>
        <sz val="11"/>
        <color rgb="FFFF0000"/>
        <rFont val="游ゴシック"/>
        <family val="3"/>
        <charset val="128"/>
        <scheme val="minor"/>
      </rPr>
      <t>特許出願済み／出願手続き／知財担当に相談している。</t>
    </r>
    <r>
      <rPr>
        <sz val="11"/>
        <color theme="1"/>
        <rFont val="游ゴシック"/>
        <family val="2"/>
        <charset val="128"/>
        <scheme val="minor"/>
      </rPr>
      <t xml:space="preserve">
＝＞　Ｃ項のチェックに進む。</t>
    </r>
    <rPh sb="15" eb="16">
      <t>ズ</t>
    </rPh>
    <rPh sb="18" eb="20">
      <t>シュツガン</t>
    </rPh>
    <rPh sb="20" eb="22">
      <t>テツヅ</t>
    </rPh>
    <rPh sb="24" eb="26">
      <t>チザイ</t>
    </rPh>
    <rPh sb="26" eb="28">
      <t>タントウ</t>
    </rPh>
    <rPh sb="29" eb="31">
      <t>ソウダン</t>
    </rPh>
    <phoneticPr fontId="2"/>
  </si>
  <si>
    <t>　　No　</t>
    <phoneticPr fontId="2"/>
  </si>
  <si>
    <r>
      <rPr>
        <b/>
        <sz val="11"/>
        <color rgb="FFFF0000"/>
        <rFont val="游ゴシック"/>
        <family val="3"/>
        <charset val="128"/>
        <scheme val="minor"/>
      </rPr>
      <t>技術内容についての公表ではない、</t>
    </r>
    <r>
      <rPr>
        <b/>
        <sz val="11"/>
        <color theme="1"/>
        <rFont val="游ゴシック"/>
        <family val="3"/>
        <charset val="128"/>
        <scheme val="minor"/>
      </rPr>
      <t>又は、</t>
    </r>
    <r>
      <rPr>
        <b/>
        <sz val="11"/>
        <color rgb="FFFF0000"/>
        <rFont val="游ゴシック"/>
        <family val="3"/>
        <charset val="128"/>
        <scheme val="minor"/>
      </rPr>
      <t>公知の情報を寄せ集め</t>
    </r>
    <r>
      <rPr>
        <b/>
        <sz val="11"/>
        <color theme="1"/>
        <rFont val="游ゴシック"/>
        <family val="3"/>
        <charset val="128"/>
        <scheme val="minor"/>
      </rPr>
      <t>(例えば、技術解説記事)なので、特許出願の予定無し。</t>
    </r>
    <r>
      <rPr>
        <sz val="11"/>
        <color theme="1"/>
        <rFont val="游ゴシック"/>
        <family val="2"/>
        <charset val="128"/>
        <scheme val="minor"/>
      </rPr>
      <t xml:space="preserve">
＝＞　Ｃ項のチェックに進む。</t>
    </r>
    <rPh sb="45" eb="47">
      <t>トッキョ</t>
    </rPh>
    <rPh sb="47" eb="49">
      <t>シュツガン</t>
    </rPh>
    <rPh sb="50" eb="52">
      <t>ヨテイ</t>
    </rPh>
    <rPh sb="52" eb="53">
      <t>ナ</t>
    </rPh>
    <rPh sb="60" eb="61">
      <t>コウ</t>
    </rPh>
    <rPh sb="67" eb="68">
      <t>スス</t>
    </rPh>
    <phoneticPr fontId="2"/>
  </si>
  <si>
    <t>Ｃ　公表後の権利帰属について</t>
    <phoneticPr fontId="2"/>
  </si>
  <si>
    <t>著作権保護</t>
    <rPh sb="0" eb="3">
      <t>チョサクケン</t>
    </rPh>
    <rPh sb="3" eb="5">
      <t>ホゴ</t>
    </rPh>
    <phoneticPr fontId="2"/>
  </si>
  <si>
    <r>
      <rPr>
        <b/>
        <sz val="11"/>
        <color theme="1"/>
        <rFont val="游ゴシック"/>
        <family val="3"/>
        <charset val="128"/>
        <scheme val="minor"/>
      </rPr>
      <t>著作権は当社に留保される条件となっているか？</t>
    </r>
    <r>
      <rPr>
        <sz val="11"/>
        <color theme="1"/>
        <rFont val="游ゴシック"/>
        <family val="2"/>
        <charset val="128"/>
        <scheme val="minor"/>
      </rPr>
      <t xml:space="preserve">
Yes、Noいずれか該当する項の○を●にする。</t>
    </r>
    <rPh sb="12" eb="14">
      <t>ジョウケン</t>
    </rPh>
    <phoneticPr fontId="2"/>
  </si>
  <si>
    <r>
      <t xml:space="preserve">Yes
</t>
    </r>
    <r>
      <rPr>
        <sz val="10"/>
        <color theme="1"/>
        <rFont val="游ゴシック"/>
        <family val="3"/>
        <charset val="128"/>
        <scheme val="minor"/>
      </rPr>
      <t>著作権留保</t>
    </r>
    <rPh sb="4" eb="7">
      <t>チョサクケン</t>
    </rPh>
    <rPh sb="7" eb="9">
      <t>リュウホ</t>
    </rPh>
    <phoneticPr fontId="2"/>
  </si>
  <si>
    <t>○</t>
  </si>
  <si>
    <r>
      <t>　</t>
    </r>
    <r>
      <rPr>
        <b/>
        <sz val="11"/>
        <color theme="1"/>
        <rFont val="游ゴシック"/>
        <family val="3"/>
        <charset val="128"/>
        <scheme val="minor"/>
      </rPr>
      <t>当社の著作物として公表する。</t>
    </r>
    <r>
      <rPr>
        <sz val="11"/>
        <color theme="1"/>
        <rFont val="游ゴシック"/>
        <family val="3"/>
        <charset val="128"/>
        <scheme val="minor"/>
      </rPr>
      <t>　⇒　Ｄ項のチェックに進む。</t>
    </r>
    <rPh sb="1" eb="3">
      <t>トウシャ</t>
    </rPh>
    <rPh sb="4" eb="7">
      <t>チョサクブツ</t>
    </rPh>
    <rPh sb="10" eb="12">
      <t>コウヒョウ</t>
    </rPh>
    <rPh sb="19" eb="20">
      <t>コウ</t>
    </rPh>
    <rPh sb="26" eb="27">
      <t>スス</t>
    </rPh>
    <phoneticPr fontId="2"/>
  </si>
  <si>
    <r>
      <t xml:space="preserve">No
</t>
    </r>
    <r>
      <rPr>
        <sz val="10"/>
        <color theme="1"/>
        <rFont val="游ゴシック"/>
        <family val="3"/>
        <charset val="128"/>
        <scheme val="minor"/>
      </rPr>
      <t>著作権譲渡</t>
    </r>
    <phoneticPr fontId="2"/>
  </si>
  <si>
    <r>
      <t>　</t>
    </r>
    <r>
      <rPr>
        <b/>
        <sz val="11"/>
        <color rgb="FFFF0000"/>
        <rFont val="游ゴシック"/>
        <family val="3"/>
        <charset val="128"/>
        <scheme val="minor"/>
      </rPr>
      <t>著作権を</t>
    </r>
    <r>
      <rPr>
        <b/>
        <sz val="11"/>
        <color theme="1"/>
        <rFont val="游ゴシック"/>
        <family val="3"/>
        <charset val="128"/>
        <scheme val="minor"/>
      </rPr>
      <t>主催者等に譲渡する条件とされているが、</t>
    </r>
    <r>
      <rPr>
        <b/>
        <sz val="11"/>
        <color rgb="FFFF0000"/>
        <rFont val="游ゴシック"/>
        <family val="3"/>
        <charset val="128"/>
        <scheme val="minor"/>
      </rPr>
      <t>譲渡しても業務に支障はない</t>
    </r>
    <r>
      <rPr>
        <b/>
        <sz val="11"/>
        <color theme="1"/>
        <rFont val="游ゴシック"/>
        <family val="3"/>
        <charset val="128"/>
        <scheme val="minor"/>
      </rPr>
      <t>。</t>
    </r>
    <r>
      <rPr>
        <sz val="11"/>
        <color theme="1"/>
        <rFont val="游ゴシック"/>
        <family val="3"/>
        <charset val="128"/>
        <scheme val="minor"/>
      </rPr>
      <t xml:space="preserve">
　（公表後、当社で他目的に複写、改変等が自由にできるなど）
　　⇒　Ｄ項のチェックに進む。</t>
    </r>
    <rPh sb="59" eb="61">
      <t>ジユウ</t>
    </rPh>
    <rPh sb="74" eb="75">
      <t>コウ</t>
    </rPh>
    <rPh sb="81" eb="82">
      <t>スス</t>
    </rPh>
    <phoneticPr fontId="2"/>
  </si>
  <si>
    <t>Ｄ　他社権利の侵害防止</t>
    <phoneticPr fontId="2"/>
  </si>
  <si>
    <t>他人の著作物の一部を利用している場合のチェック事項</t>
    <phoneticPr fontId="2"/>
  </si>
  <si>
    <t>指示事項</t>
    <phoneticPr fontId="2"/>
  </si>
  <si>
    <t>他社著作物</t>
    <rPh sb="0" eb="2">
      <t>タシャ</t>
    </rPh>
    <rPh sb="2" eb="5">
      <t>チョサクブツ</t>
    </rPh>
    <phoneticPr fontId="2"/>
  </si>
  <si>
    <r>
      <rPr>
        <b/>
        <sz val="11"/>
        <color theme="1"/>
        <rFont val="游ゴシック"/>
        <family val="3"/>
        <charset val="128"/>
        <scheme val="minor"/>
      </rPr>
      <t>他社(者)の著作物の全部又は一部を、そのまま或いは修正などして使用しているか？</t>
    </r>
    <r>
      <rPr>
        <sz val="11"/>
        <color theme="1"/>
        <rFont val="游ゴシック"/>
        <family val="2"/>
        <charset val="128"/>
        <scheme val="minor"/>
      </rPr>
      <t xml:space="preserve">
次の①、②、③の該当する項の○を●にする。</t>
    </r>
    <phoneticPr fontId="2"/>
  </si>
  <si>
    <t>①
（不使用）</t>
    <rPh sb="3" eb="6">
      <t>フシヨウ</t>
    </rPh>
    <phoneticPr fontId="2"/>
  </si>
  <si>
    <r>
      <rPr>
        <b/>
        <sz val="11"/>
        <color theme="1"/>
        <rFont val="游ゴシック"/>
        <family val="3"/>
        <charset val="128"/>
        <scheme val="minor"/>
      </rPr>
      <t>他社(者)著作物を使用していない。</t>
    </r>
    <r>
      <rPr>
        <sz val="11"/>
        <color theme="1"/>
        <rFont val="游ゴシック"/>
        <family val="2"/>
        <charset val="128"/>
        <scheme val="minor"/>
      </rPr>
      <t xml:space="preserve">
＝＞　Ｅ項のチェックに進む。</t>
    </r>
    <phoneticPr fontId="2"/>
  </si>
  <si>
    <r>
      <t xml:space="preserve">②
</t>
    </r>
    <r>
      <rPr>
        <sz val="10"/>
        <color theme="1"/>
        <rFont val="游ゴシック"/>
        <family val="3"/>
        <charset val="128"/>
        <scheme val="minor"/>
      </rPr>
      <t xml:space="preserve"> (改変無し使用)</t>
    </r>
    <rPh sb="4" eb="6">
      <t>カイヘン</t>
    </rPh>
    <rPh sb="6" eb="7">
      <t>ナ</t>
    </rPh>
    <rPh sb="8" eb="10">
      <t>シヨウ</t>
    </rPh>
    <phoneticPr fontId="2"/>
  </si>
  <si>
    <r>
      <rPr>
        <b/>
        <sz val="11"/>
        <color theme="1"/>
        <rFont val="游ゴシック"/>
        <family val="3"/>
        <charset val="128"/>
        <scheme val="minor"/>
      </rPr>
      <t>他社(者)著作物を改変・修正せずに使用している。</t>
    </r>
    <r>
      <rPr>
        <sz val="11"/>
        <color theme="1"/>
        <rFont val="游ゴシック"/>
        <family val="2"/>
        <charset val="128"/>
        <scheme val="minor"/>
      </rPr>
      <t xml:space="preserve">
＝＞　Ｄ２項をチェックする。</t>
    </r>
    <rPh sb="0" eb="2">
      <t>タシャ</t>
    </rPh>
    <rPh sb="3" eb="4">
      <t>シャ</t>
    </rPh>
    <rPh sb="5" eb="8">
      <t>チョサクブツ</t>
    </rPh>
    <rPh sb="9" eb="11">
      <t>カイヘン</t>
    </rPh>
    <rPh sb="12" eb="14">
      <t>シュウセイ</t>
    </rPh>
    <phoneticPr fontId="2"/>
  </si>
  <si>
    <r>
      <t xml:space="preserve">③
</t>
    </r>
    <r>
      <rPr>
        <sz val="10"/>
        <color theme="1"/>
        <rFont val="游ゴシック"/>
        <family val="3"/>
        <charset val="128"/>
        <scheme val="minor"/>
      </rPr>
      <t xml:space="preserve"> (改変有り使用)</t>
    </r>
    <rPh sb="4" eb="6">
      <t>カイヘン</t>
    </rPh>
    <rPh sb="6" eb="7">
      <t>ア</t>
    </rPh>
    <rPh sb="8" eb="10">
      <t>シヨウ</t>
    </rPh>
    <phoneticPr fontId="2"/>
  </si>
  <si>
    <r>
      <rPr>
        <b/>
        <sz val="11"/>
        <color theme="1"/>
        <rFont val="游ゴシック"/>
        <family val="3"/>
        <charset val="128"/>
        <scheme val="minor"/>
      </rPr>
      <t>他社(者)著作物を改変・修正して使用している。</t>
    </r>
    <r>
      <rPr>
        <sz val="11"/>
        <color theme="1"/>
        <rFont val="游ゴシック"/>
        <family val="2"/>
        <charset val="128"/>
        <scheme val="minor"/>
      </rPr>
      <t xml:space="preserve">
＝＞　Ｄ３項をチェックする。</t>
    </r>
    <rPh sb="0" eb="2">
      <t>タシャ</t>
    </rPh>
    <rPh sb="3" eb="4">
      <t>シャ</t>
    </rPh>
    <rPh sb="5" eb="8">
      <t>チョサクブツ</t>
    </rPh>
    <rPh sb="9" eb="11">
      <t>カイヘン</t>
    </rPh>
    <rPh sb="12" eb="14">
      <t>シュウセイ</t>
    </rPh>
    <phoneticPr fontId="2"/>
  </si>
  <si>
    <t>引用</t>
    <rPh sb="0" eb="2">
      <t>インヨウ</t>
    </rPh>
    <phoneticPr fontId="2"/>
  </si>
  <si>
    <r>
      <rPr>
        <b/>
        <sz val="11"/>
        <color theme="1"/>
        <rFont val="游ゴシック"/>
        <family val="3"/>
        <charset val="128"/>
        <scheme val="minor"/>
      </rPr>
      <t>他社(者)著作物の全部／一部の表現を変更せずに利用している場合、適正に利用しているか？</t>
    </r>
    <r>
      <rPr>
        <sz val="11"/>
        <color theme="1"/>
        <rFont val="游ゴシック"/>
        <family val="2"/>
        <charset val="128"/>
        <scheme val="minor"/>
      </rPr>
      <t xml:space="preserve">
次の①、②の該当する項の○を●にする（複数の他者著作物が有る場合は①②共に●も可）</t>
    </r>
    <rPh sb="32" eb="34">
      <t>テキセイ</t>
    </rPh>
    <rPh sb="35" eb="37">
      <t>リヨウ</t>
    </rPh>
    <rPh sb="63" eb="65">
      <t>フクスウ</t>
    </rPh>
    <rPh sb="66" eb="67">
      <t>タ</t>
    </rPh>
    <rPh sb="67" eb="68">
      <t>シャ</t>
    </rPh>
    <rPh sb="68" eb="71">
      <t>チョサクブツ</t>
    </rPh>
    <rPh sb="72" eb="73">
      <t>ア</t>
    </rPh>
    <rPh sb="74" eb="76">
      <t>バアイ</t>
    </rPh>
    <rPh sb="79" eb="80">
      <t>トモ</t>
    </rPh>
    <rPh sb="83" eb="84">
      <t>カ</t>
    </rPh>
    <phoneticPr fontId="2"/>
  </si>
  <si>
    <r>
      <t xml:space="preserve">①
</t>
    </r>
    <r>
      <rPr>
        <sz val="10"/>
        <color theme="1"/>
        <rFont val="游ゴシック"/>
        <family val="3"/>
        <charset val="128"/>
        <scheme val="minor"/>
      </rPr>
      <t>（許諾取得）</t>
    </r>
    <rPh sb="3" eb="5">
      <t>キョダク</t>
    </rPh>
    <rPh sb="5" eb="7">
      <t>シュトク</t>
    </rPh>
    <phoneticPr fontId="2"/>
  </si>
  <si>
    <r>
      <rPr>
        <b/>
        <sz val="11"/>
        <color rgb="FFFF0000"/>
        <rFont val="游ゴシック"/>
        <family val="3"/>
        <charset val="128"/>
        <scheme val="minor"/>
      </rPr>
      <t>利用した著作物の著作権者が承諾していることを示す文書がある</t>
    </r>
    <r>
      <rPr>
        <b/>
        <sz val="11"/>
        <rFont val="游ゴシック"/>
        <family val="3"/>
        <charset val="128"/>
        <scheme val="minor"/>
      </rPr>
      <t>【著作権帰属先（Ｃ１項結果）の説明もすること】。</t>
    </r>
    <r>
      <rPr>
        <sz val="11"/>
        <color theme="1"/>
        <rFont val="游ゴシック"/>
        <family val="2"/>
        <charset val="128"/>
        <scheme val="minor"/>
      </rPr>
      <t xml:space="preserve">
＝＞　Ｅ項のチェックに進む</t>
    </r>
    <rPh sb="0" eb="2">
      <t>リヨウ</t>
    </rPh>
    <rPh sb="4" eb="6">
      <t>チョサク</t>
    </rPh>
    <rPh sb="6" eb="7">
      <t>ブツ</t>
    </rPh>
    <rPh sb="30" eb="33">
      <t>チョサクケン</t>
    </rPh>
    <rPh sb="33" eb="35">
      <t>キゾク</t>
    </rPh>
    <rPh sb="35" eb="36">
      <t>サキ</t>
    </rPh>
    <rPh sb="39" eb="40">
      <t>コウ</t>
    </rPh>
    <rPh sb="40" eb="42">
      <t>ケッカ</t>
    </rPh>
    <rPh sb="44" eb="46">
      <t>セツメイ</t>
    </rPh>
    <rPh sb="58" eb="59">
      <t>コウ</t>
    </rPh>
    <rPh sb="65" eb="66">
      <t>スス</t>
    </rPh>
    <phoneticPr fontId="2"/>
  </si>
  <si>
    <t>②
（引用）</t>
    <rPh sb="3" eb="5">
      <t>インヨウ</t>
    </rPh>
    <phoneticPr fontId="2"/>
  </si>
  <si>
    <r>
      <rPr>
        <b/>
        <sz val="11"/>
        <color theme="1"/>
        <rFont val="游ゴシック"/>
        <family val="3"/>
        <charset val="128"/>
        <scheme val="minor"/>
      </rPr>
      <t>著作権者から承諾を得ていないが、著作権法の「引用」の条件を満たしていることを</t>
    </r>
    <r>
      <rPr>
        <b/>
        <sz val="11"/>
        <color rgb="FFFF0000"/>
        <rFont val="游ゴシック"/>
        <family val="3"/>
        <charset val="128"/>
        <scheme val="minor"/>
      </rPr>
      <t>、「引用チェックシート」にて確認できている。</t>
    </r>
    <r>
      <rPr>
        <sz val="11"/>
        <color theme="1"/>
        <rFont val="游ゴシック"/>
        <family val="2"/>
        <charset val="128"/>
        <scheme val="minor"/>
      </rPr>
      <t xml:space="preserve">
＝＞　Ｅ項のチェックに進む</t>
    </r>
    <phoneticPr fontId="2"/>
  </si>
  <si>
    <t>　ここをクリックすると、『引用チェックシート』を取得できます。</t>
    <rPh sb="13" eb="15">
      <t>インヨウ</t>
    </rPh>
    <rPh sb="24" eb="26">
      <t>シュトク</t>
    </rPh>
    <phoneticPr fontId="2"/>
  </si>
  <si>
    <t>改変利用</t>
    <rPh sb="0" eb="2">
      <t>カイヘン</t>
    </rPh>
    <rPh sb="2" eb="4">
      <t>リヨウ</t>
    </rPh>
    <phoneticPr fontId="2"/>
  </si>
  <si>
    <r>
      <rPr>
        <b/>
        <sz val="11"/>
        <color theme="1"/>
        <rFont val="游ゴシック"/>
        <family val="3"/>
        <charset val="128"/>
        <scheme val="minor"/>
      </rPr>
      <t>他社(者)著作物の全部／一部を変更・修正・改変・翻案して利用している場合、適正な利用か？</t>
    </r>
    <r>
      <rPr>
        <sz val="11"/>
        <color theme="1"/>
        <rFont val="游ゴシック"/>
        <family val="2"/>
        <charset val="128"/>
        <scheme val="minor"/>
      </rPr>
      <t xml:space="preserve">
次の①、②の該当する項の○を●にする。</t>
    </r>
    <rPh sb="37" eb="39">
      <t>テキセイ</t>
    </rPh>
    <rPh sb="40" eb="42">
      <t>リヨウ</t>
    </rPh>
    <phoneticPr fontId="2"/>
  </si>
  <si>
    <r>
      <rPr>
        <b/>
        <sz val="11"/>
        <color rgb="FFFF0000"/>
        <rFont val="游ゴシック"/>
        <family val="3"/>
        <charset val="128"/>
        <scheme val="minor"/>
      </rPr>
      <t>変更・修正・改変・翻案について、利用した著作物の著作権者が承諾していることを示す文書がある</t>
    </r>
    <r>
      <rPr>
        <b/>
        <sz val="11"/>
        <rFont val="游ゴシック"/>
        <family val="3"/>
        <charset val="128"/>
        <scheme val="minor"/>
      </rPr>
      <t>【著作権帰属先（Ｃ１項結果）の説明もすること】。</t>
    </r>
    <r>
      <rPr>
        <sz val="11"/>
        <color theme="1"/>
        <rFont val="游ゴシック"/>
        <family val="2"/>
        <charset val="128"/>
        <scheme val="minor"/>
      </rPr>
      <t xml:space="preserve">
＝＞　Ｅ項のチェックに進む</t>
    </r>
    <rPh sb="0" eb="2">
      <t>ヘンコウ</t>
    </rPh>
    <rPh sb="55" eb="56">
      <t>コウ</t>
    </rPh>
    <phoneticPr fontId="2"/>
  </si>
  <si>
    <r>
      <t xml:space="preserve">②
</t>
    </r>
    <r>
      <rPr>
        <sz val="10"/>
        <color theme="1"/>
        <rFont val="游ゴシック"/>
        <family val="3"/>
        <charset val="128"/>
        <scheme val="minor"/>
      </rPr>
      <t>（正当性）</t>
    </r>
    <rPh sb="3" eb="6">
      <t>セイトウセイ</t>
    </rPh>
    <phoneticPr fontId="2"/>
  </si>
  <si>
    <r>
      <rPr>
        <b/>
        <sz val="11"/>
        <color theme="1"/>
        <rFont val="游ゴシック"/>
        <family val="3"/>
        <charset val="128"/>
        <scheme val="minor"/>
      </rPr>
      <t>著作権者から承諾を得ていないが、</t>
    </r>
    <r>
      <rPr>
        <b/>
        <sz val="11"/>
        <color rgb="FFFF0000"/>
        <rFont val="游ゴシック"/>
        <family val="3"/>
        <charset val="128"/>
        <scheme val="minor"/>
      </rPr>
      <t>知的財産担当により妥当な修正等である旨が確認されたことの文書がある。</t>
    </r>
    <r>
      <rPr>
        <sz val="11"/>
        <color theme="1"/>
        <rFont val="游ゴシック"/>
        <family val="2"/>
        <charset val="128"/>
        <scheme val="minor"/>
      </rPr>
      <t xml:space="preserve">
＝＞　Ｅ項のチェックに進む</t>
    </r>
    <rPh sb="55" eb="56">
      <t>コウ</t>
    </rPh>
    <rPh sb="62" eb="63">
      <t>スス</t>
    </rPh>
    <phoneticPr fontId="2"/>
  </si>
  <si>
    <t>Ｅ　公表の形態</t>
    <phoneticPr fontId="2"/>
  </si>
  <si>
    <t>職務著作(著作権法15条)、CI/GI、商標表記関連</t>
    <phoneticPr fontId="2"/>
  </si>
  <si>
    <t>職務著作</t>
    <rPh sb="0" eb="2">
      <t>ショクム</t>
    </rPh>
    <rPh sb="2" eb="4">
      <t>チョサク</t>
    </rPh>
    <phoneticPr fontId="2"/>
  </si>
  <si>
    <r>
      <rPr>
        <b/>
        <sz val="11"/>
        <color theme="1"/>
        <rFont val="游ゴシック"/>
        <family val="3"/>
        <charset val="128"/>
        <scheme val="minor"/>
      </rPr>
      <t>職務著作であることが明確か？</t>
    </r>
    <r>
      <rPr>
        <sz val="11"/>
        <color theme="1"/>
        <rFont val="游ゴシック"/>
        <family val="2"/>
        <charset val="128"/>
        <scheme val="minor"/>
      </rPr>
      <t>（発表者、執筆者として個人（社員）名が記載されていないか？）
Yes、Noいずれか該当する項の○を●にする。</t>
    </r>
    <rPh sb="0" eb="2">
      <t>ショクム</t>
    </rPh>
    <rPh sb="2" eb="4">
      <t>チョサク</t>
    </rPh>
    <rPh sb="10" eb="12">
      <t>メイカク</t>
    </rPh>
    <rPh sb="15" eb="18">
      <t>ハッピョウシャ</t>
    </rPh>
    <phoneticPr fontId="2"/>
  </si>
  <si>
    <r>
      <rPr>
        <b/>
        <sz val="11"/>
        <color theme="1"/>
        <rFont val="游ゴシック"/>
        <family val="3"/>
        <charset val="128"/>
        <scheme val="minor"/>
      </rPr>
      <t>個人名の記載が無い</t>
    </r>
    <r>
      <rPr>
        <sz val="11"/>
        <color theme="1"/>
        <rFont val="游ゴシック"/>
        <family val="2"/>
        <charset val="128"/>
        <scheme val="minor"/>
      </rPr>
      <t>（会社名での発表）
＝＞　Ｅ２項のチェックに進む。</t>
    </r>
    <phoneticPr fontId="2"/>
  </si>
  <si>
    <r>
      <rPr>
        <b/>
        <sz val="11"/>
        <color theme="1"/>
        <rFont val="游ゴシック"/>
        <family val="3"/>
        <charset val="128"/>
        <scheme val="minor"/>
      </rPr>
      <t>個人名の記載が有る</t>
    </r>
    <r>
      <rPr>
        <sz val="11"/>
        <color theme="1"/>
        <rFont val="游ゴシック"/>
        <family val="3"/>
        <charset val="128"/>
        <scheme val="minor"/>
      </rPr>
      <t>（(ｱ)欄の理由を選択する）</t>
    </r>
    <r>
      <rPr>
        <sz val="11"/>
        <color theme="1"/>
        <rFont val="游ゴシック"/>
        <family val="2"/>
        <charset val="128"/>
        <scheme val="minor"/>
      </rPr>
      <t xml:space="preserve">
＝＞　Ｅ２項のチェックに進む。</t>
    </r>
    <rPh sb="13" eb="14">
      <t>ラン</t>
    </rPh>
    <rPh sb="15" eb="17">
      <t>リユウ</t>
    </rPh>
    <rPh sb="18" eb="20">
      <t>センタク</t>
    </rPh>
    <phoneticPr fontId="2"/>
  </si>
  <si>
    <t>【注意】個人名のみで発表する場合、個人活動と会社業務の切り分けが十分に出来ていない可能性が高いと思われますので、慎重な対応をして下さい。</t>
    <rPh sb="1" eb="3">
      <t>チュウイ</t>
    </rPh>
    <phoneticPr fontId="2"/>
  </si>
  <si>
    <t>(ｱ)個人名記載の理由</t>
    <rPh sb="5" eb="6">
      <t>メイ</t>
    </rPh>
    <rPh sb="6" eb="8">
      <t>キサイ</t>
    </rPh>
    <rPh sb="9" eb="11">
      <t>リユウ</t>
    </rPh>
    <phoneticPr fontId="2"/>
  </si>
  <si>
    <t>社名</t>
    <rPh sb="0" eb="2">
      <t>シャメイ</t>
    </rPh>
    <phoneticPr fontId="2"/>
  </si>
  <si>
    <r>
      <rPr>
        <b/>
        <sz val="11"/>
        <color theme="1"/>
        <rFont val="游ゴシック"/>
        <family val="3"/>
        <charset val="128"/>
        <scheme val="minor"/>
      </rPr>
      <t>当社社名の表記は、CI/GIガイドライン(経企部HP参照)を満足しているか？</t>
    </r>
    <r>
      <rPr>
        <sz val="11"/>
        <color theme="1"/>
        <rFont val="游ゴシック"/>
        <family val="2"/>
        <charset val="128"/>
        <scheme val="minor"/>
      </rPr>
      <t xml:space="preserve">
Yes、Noいずれか該当する項の○を●にする。</t>
    </r>
    <rPh sb="0" eb="2">
      <t>トウシャ</t>
    </rPh>
    <phoneticPr fontId="2"/>
  </si>
  <si>
    <t>　　CI/GIガイドラインへのリンク</t>
    <phoneticPr fontId="2"/>
  </si>
  <si>
    <r>
      <rPr>
        <b/>
        <sz val="11"/>
        <color theme="1"/>
        <rFont val="游ゴシック"/>
        <family val="3"/>
        <charset val="128"/>
        <scheme val="minor"/>
      </rPr>
      <t>ガイドラインに沿った表記がされている。</t>
    </r>
    <r>
      <rPr>
        <sz val="11"/>
        <color theme="1"/>
        <rFont val="游ゴシック"/>
        <family val="2"/>
        <charset val="128"/>
        <scheme val="minor"/>
      </rPr>
      <t xml:space="preserve">
＝＞　Ｅ３項のチェックに進む</t>
    </r>
    <rPh sb="7" eb="8">
      <t>ソ</t>
    </rPh>
    <rPh sb="10" eb="12">
      <t>ヒョウキ</t>
    </rPh>
    <phoneticPr fontId="2"/>
  </si>
  <si>
    <t>ガイドラインに違反した表記がされている。</t>
    <rPh sb="7" eb="9">
      <t>イハン</t>
    </rPh>
    <rPh sb="11" eb="13">
      <t>ヒョウキ</t>
    </rPh>
    <phoneticPr fontId="2"/>
  </si>
  <si>
    <t>自社商標</t>
    <rPh sb="0" eb="2">
      <t>ジシャ</t>
    </rPh>
    <rPh sb="2" eb="4">
      <t>ショウヒョウ</t>
    </rPh>
    <phoneticPr fontId="2"/>
  </si>
  <si>
    <r>
      <rPr>
        <b/>
        <sz val="11"/>
        <color theme="1"/>
        <rFont val="游ゴシック"/>
        <family val="3"/>
        <charset val="128"/>
        <scheme val="minor"/>
      </rPr>
      <t>当社商品・サービス名の表記は、商標登録出願・登録している表記と一致しているか？</t>
    </r>
    <r>
      <rPr>
        <sz val="11"/>
        <color theme="1"/>
        <rFont val="游ゴシック"/>
        <family val="3"/>
        <charset val="128"/>
        <scheme val="minor"/>
      </rPr>
      <t xml:space="preserve">
　　</t>
    </r>
    <r>
      <rPr>
        <sz val="11"/>
        <color theme="1"/>
        <rFont val="游ゴシック"/>
        <family val="2"/>
        <charset val="128"/>
        <scheme val="minor"/>
      </rPr>
      <t>（出願登録内容は、知財HPの「商標出願・登録一覧」ファイルを参照）。
Yes、Noいずれか該当する項の○を●にする。</t>
    </r>
    <rPh sb="31" eb="33">
      <t>イッチ</t>
    </rPh>
    <phoneticPr fontId="2"/>
  </si>
  <si>
    <t>　「商標登録一覧」（知財ＨＰ）へのリンク</t>
    <rPh sb="2" eb="4">
      <t>ショウヒョウ</t>
    </rPh>
    <rPh sb="4" eb="6">
      <t>トウロク</t>
    </rPh>
    <rPh sb="6" eb="8">
      <t>イチラン</t>
    </rPh>
    <rPh sb="10" eb="12">
      <t>チザイ</t>
    </rPh>
    <phoneticPr fontId="2"/>
  </si>
  <si>
    <r>
      <rPr>
        <b/>
        <sz val="11"/>
        <color theme="1"/>
        <rFont val="游ゴシック"/>
        <family val="3"/>
        <charset val="128"/>
        <scheme val="minor"/>
      </rPr>
      <t>当社商標は発表予定原稿に表記されていない。</t>
    </r>
    <r>
      <rPr>
        <sz val="11"/>
        <color theme="1"/>
        <rFont val="游ゴシック"/>
        <family val="2"/>
        <charset val="128"/>
        <scheme val="minor"/>
      </rPr>
      <t xml:space="preserve">
＝＞　Ｅ４項のチェックに進む。</t>
    </r>
    <rPh sb="5" eb="7">
      <t>ハッピョウ</t>
    </rPh>
    <rPh sb="7" eb="9">
      <t>ヨテイ</t>
    </rPh>
    <rPh sb="9" eb="11">
      <t>ゲンコウ</t>
    </rPh>
    <phoneticPr fontId="2"/>
  </si>
  <si>
    <r>
      <rPr>
        <b/>
        <sz val="11"/>
        <color theme="1"/>
        <rFont val="游ゴシック"/>
        <family val="3"/>
        <charset val="128"/>
        <scheme val="minor"/>
      </rPr>
      <t>商標は、出願／登録と同じ表記がされている</t>
    </r>
    <r>
      <rPr>
        <b/>
        <sz val="11"/>
        <color rgb="FFFF0000"/>
        <rFont val="游ゴシック"/>
        <family val="3"/>
        <charset val="128"/>
        <scheme val="minor"/>
      </rPr>
      <t>（変形しての使用がないこと）</t>
    </r>
    <r>
      <rPr>
        <b/>
        <sz val="11"/>
        <color theme="1"/>
        <rFont val="游ゴシック"/>
        <family val="3"/>
        <charset val="128"/>
        <scheme val="minor"/>
      </rPr>
      <t>。</t>
    </r>
    <r>
      <rPr>
        <sz val="11"/>
        <color theme="1"/>
        <rFont val="游ゴシック"/>
        <family val="2"/>
        <charset val="128"/>
        <scheme val="minor"/>
      </rPr>
      <t xml:space="preserve">
＝＞　Ｅ４項のチェックに進む。</t>
    </r>
    <rPh sb="0" eb="2">
      <t>ショウヒョウ</t>
    </rPh>
    <rPh sb="4" eb="6">
      <t>シュツガン</t>
    </rPh>
    <rPh sb="7" eb="9">
      <t>トウロク</t>
    </rPh>
    <rPh sb="10" eb="11">
      <t>オナ</t>
    </rPh>
    <rPh sb="12" eb="14">
      <t>ヒョウキ</t>
    </rPh>
    <phoneticPr fontId="2"/>
  </si>
  <si>
    <t>他社商標</t>
    <rPh sb="0" eb="2">
      <t>タシャ</t>
    </rPh>
    <rPh sb="2" eb="4">
      <t>ショウヒョウ</t>
    </rPh>
    <phoneticPr fontId="2"/>
  </si>
  <si>
    <r>
      <rPr>
        <b/>
        <sz val="11"/>
        <rFont val="游ゴシック"/>
        <family val="3"/>
        <charset val="128"/>
        <scheme val="minor"/>
      </rPr>
      <t>他社の社名・商標の記載が有る場合、商標権者の許諾が不要な内容か？／必要に応じて許諾が必要か？／指定する商標の表記条件を満足しているか？／他社の社名・商品の信用を損なう、あるいは事実と反する内容になっていないか？</t>
    </r>
    <r>
      <rPr>
        <sz val="11"/>
        <rFont val="游ゴシック"/>
        <family val="3"/>
        <charset val="128"/>
        <scheme val="minor"/>
      </rPr>
      <t xml:space="preserve">
⇒Yes、Noいずれか該当する項の○を●にする。</t>
    </r>
    <rPh sb="9" eb="11">
      <t>キサイ</t>
    </rPh>
    <rPh sb="17" eb="19">
      <t>ショウヒョウ</t>
    </rPh>
    <rPh sb="19" eb="21">
      <t>ケンシャ</t>
    </rPh>
    <rPh sb="22" eb="24">
      <t>キョダク</t>
    </rPh>
    <rPh sb="25" eb="27">
      <t>フヨウ</t>
    </rPh>
    <rPh sb="28" eb="30">
      <t>ナイヨウ</t>
    </rPh>
    <rPh sb="33" eb="35">
      <t>ヒツヨウ</t>
    </rPh>
    <rPh sb="36" eb="37">
      <t>オウ</t>
    </rPh>
    <rPh sb="39" eb="41">
      <t>キョダク</t>
    </rPh>
    <rPh sb="42" eb="44">
      <t>ヒツヨウ</t>
    </rPh>
    <rPh sb="51" eb="53">
      <t>ショウヒョウ</t>
    </rPh>
    <rPh sb="68" eb="70">
      <t>タシャ</t>
    </rPh>
    <rPh sb="71" eb="73">
      <t>シャメイ</t>
    </rPh>
    <rPh sb="74" eb="76">
      <t>ショウヒン</t>
    </rPh>
    <rPh sb="77" eb="79">
      <t>シンヨウ</t>
    </rPh>
    <rPh sb="80" eb="81">
      <t>ソコ</t>
    </rPh>
    <rPh sb="88" eb="90">
      <t>ジジツ</t>
    </rPh>
    <rPh sb="91" eb="92">
      <t>ハン</t>
    </rPh>
    <rPh sb="94" eb="96">
      <t>ナイヨウ</t>
    </rPh>
    <phoneticPr fontId="2"/>
  </si>
  <si>
    <r>
      <t xml:space="preserve">　No
</t>
    </r>
    <r>
      <rPr>
        <sz val="9"/>
        <color theme="1"/>
        <rFont val="游ゴシック"/>
        <family val="3"/>
        <charset val="128"/>
        <scheme val="minor"/>
      </rPr>
      <t>他社商標記載なし</t>
    </r>
    <rPh sb="4" eb="5">
      <t>タ</t>
    </rPh>
    <rPh sb="5" eb="6">
      <t>シャ</t>
    </rPh>
    <rPh sb="6" eb="8">
      <t>ショウヒョウ</t>
    </rPh>
    <rPh sb="8" eb="10">
      <t>キサイ</t>
    </rPh>
    <phoneticPr fontId="2"/>
  </si>
  <si>
    <t>○</t>
    <phoneticPr fontId="2"/>
  </si>
  <si>
    <r>
      <rPr>
        <b/>
        <sz val="11"/>
        <color theme="1"/>
        <rFont val="游ゴシック"/>
        <family val="3"/>
        <charset val="128"/>
        <scheme val="minor"/>
      </rPr>
      <t>他社の社名や商標の記載がない</t>
    </r>
    <r>
      <rPr>
        <sz val="11"/>
        <color theme="1"/>
        <rFont val="游ゴシック"/>
        <family val="2"/>
        <charset val="128"/>
        <scheme val="minor"/>
      </rPr>
      <t xml:space="preserve">
＝＞　Ｆ項のチェックに進む</t>
    </r>
    <rPh sb="3" eb="5">
      <t>シャメイ</t>
    </rPh>
    <rPh sb="9" eb="11">
      <t>キサイ</t>
    </rPh>
    <phoneticPr fontId="2"/>
  </si>
  <si>
    <r>
      <t xml:space="preserve">Yes
</t>
    </r>
    <r>
      <rPr>
        <sz val="9"/>
        <color theme="1"/>
        <rFont val="游ゴシック"/>
        <family val="3"/>
        <charset val="128"/>
        <scheme val="minor"/>
      </rPr>
      <t>他社商標記載有り</t>
    </r>
    <phoneticPr fontId="2"/>
  </si>
  <si>
    <r>
      <rPr>
        <b/>
        <sz val="11"/>
        <color theme="1"/>
        <rFont val="游ゴシック"/>
        <family val="3"/>
        <charset val="128"/>
        <scheme val="minor"/>
      </rPr>
      <t xml:space="preserve">他社の社名や商標の記載がある場合は、①②何れか（又は両方）で、かつ③を満たしている事を確認する。
</t>
    </r>
    <r>
      <rPr>
        <sz val="11"/>
        <color theme="1"/>
        <rFont val="游ゴシック"/>
        <family val="3"/>
        <charset val="128"/>
        <scheme val="minor"/>
      </rPr>
      <t>（①②のどちらにも●が付かない場合は知財担当に相談すること）。
＝＞　Ｆ項のチェックに進む</t>
    </r>
    <rPh sb="3" eb="5">
      <t>シャメイ</t>
    </rPh>
    <rPh sb="20" eb="21">
      <t>イヅ</t>
    </rPh>
    <rPh sb="24" eb="25">
      <t>マタ</t>
    </rPh>
    <rPh sb="26" eb="28">
      <t>リョウホウ</t>
    </rPh>
    <rPh sb="35" eb="36">
      <t>ミ</t>
    </rPh>
    <rPh sb="41" eb="42">
      <t>コト</t>
    </rPh>
    <rPh sb="43" eb="45">
      <t>カクニン</t>
    </rPh>
    <rPh sb="60" eb="61">
      <t>ツ</t>
    </rPh>
    <rPh sb="64" eb="66">
      <t>バアイ</t>
    </rPh>
    <rPh sb="67" eb="69">
      <t>チザイ</t>
    </rPh>
    <rPh sb="69" eb="71">
      <t>タントウ</t>
    </rPh>
    <rPh sb="72" eb="74">
      <t>ソウダン</t>
    </rPh>
    <phoneticPr fontId="2"/>
  </si>
  <si>
    <t>　①</t>
    <phoneticPr fontId="2"/>
  </si>
  <si>
    <r>
      <rPr>
        <b/>
        <sz val="11"/>
        <color rgb="FFFF0000"/>
        <rFont val="游ゴシック"/>
        <family val="3"/>
        <charset val="128"/>
        <scheme val="minor"/>
      </rPr>
      <t>他社の社名や商標は技術名、又は客観的事実としてのみの記載である</t>
    </r>
    <r>
      <rPr>
        <sz val="11"/>
        <color theme="1"/>
        <rFont val="游ゴシック"/>
        <family val="3"/>
        <charset val="128"/>
        <scheme val="minor"/>
      </rPr>
      <t>（当社製品の動作環境としての他社商標（製品）の記載、公開されている情報からの社名の引用等）</t>
    </r>
    <rPh sb="3" eb="5">
      <t>シャメイ</t>
    </rPh>
    <rPh sb="13" eb="14">
      <t>マタ</t>
    </rPh>
    <rPh sb="15" eb="17">
      <t>キャッカン</t>
    </rPh>
    <rPh sb="17" eb="18">
      <t>テキ</t>
    </rPh>
    <rPh sb="18" eb="20">
      <t>ジジツ</t>
    </rPh>
    <rPh sb="26" eb="28">
      <t>キサイ</t>
    </rPh>
    <rPh sb="45" eb="46">
      <t>タ</t>
    </rPh>
    <rPh sb="46" eb="47">
      <t>シャ</t>
    </rPh>
    <rPh sb="47" eb="49">
      <t>ショウヒョウ</t>
    </rPh>
    <rPh sb="50" eb="52">
      <t>セイヒン</t>
    </rPh>
    <rPh sb="57" eb="59">
      <t>コウカイ</t>
    </rPh>
    <rPh sb="64" eb="66">
      <t>ジョウホウ</t>
    </rPh>
    <rPh sb="69" eb="71">
      <t>シャメイ</t>
    </rPh>
    <rPh sb="72" eb="74">
      <t>インヨウ</t>
    </rPh>
    <phoneticPr fontId="2"/>
  </si>
  <si>
    <t>【注意】①の場合、他社のロゴの使用はＨＰ等で明示的に許諾されている場合を除き使用しない事。</t>
    <rPh sb="1" eb="3">
      <t>チュウイ</t>
    </rPh>
    <rPh sb="9" eb="10">
      <t>タ</t>
    </rPh>
    <rPh sb="10" eb="11">
      <t>シャ</t>
    </rPh>
    <phoneticPr fontId="2"/>
  </si>
  <si>
    <t>②</t>
    <phoneticPr fontId="2"/>
  </si>
  <si>
    <r>
      <rPr>
        <b/>
        <sz val="11"/>
        <color rgb="FFFF0000"/>
        <rFont val="游ゴシック"/>
        <family val="3"/>
        <charset val="128"/>
        <scheme val="minor"/>
      </rPr>
      <t>当社とのパートナーシップを想起させる</t>
    </r>
    <r>
      <rPr>
        <b/>
        <sz val="11"/>
        <rFont val="游ゴシック"/>
        <family val="3"/>
        <charset val="128"/>
        <scheme val="minor"/>
      </rPr>
      <t>内容で、</t>
    </r>
    <r>
      <rPr>
        <b/>
        <sz val="11"/>
        <color rgb="FFFF0000"/>
        <rFont val="游ゴシック"/>
        <family val="3"/>
        <charset val="128"/>
        <scheme val="minor"/>
      </rPr>
      <t>他社商標（製品・サービス名）や他社の社名を記載</t>
    </r>
    <r>
      <rPr>
        <b/>
        <sz val="11"/>
        <rFont val="游ゴシック"/>
        <family val="3"/>
        <charset val="128"/>
        <scheme val="minor"/>
      </rPr>
      <t>しているが</t>
    </r>
    <r>
      <rPr>
        <b/>
        <sz val="11"/>
        <color theme="1"/>
        <rFont val="游ゴシック"/>
        <family val="3"/>
        <charset val="128"/>
        <scheme val="minor"/>
      </rPr>
      <t>、</t>
    </r>
    <r>
      <rPr>
        <b/>
        <sz val="11"/>
        <color rgb="FFFF0000"/>
        <rFont val="游ゴシック"/>
        <family val="3"/>
        <charset val="128"/>
        <scheme val="minor"/>
      </rPr>
      <t>当該商標・社名の記載の許諾を得ている</t>
    </r>
    <r>
      <rPr>
        <b/>
        <sz val="11"/>
        <color theme="1"/>
        <rFont val="游ゴシック"/>
        <family val="3"/>
        <charset val="128"/>
        <scheme val="minor"/>
      </rPr>
      <t>（代理店契約等）。</t>
    </r>
    <rPh sb="18" eb="20">
      <t>ナイヨウ</t>
    </rPh>
    <rPh sb="34" eb="35">
      <t>メイ</t>
    </rPh>
    <rPh sb="37" eb="38">
      <t>タ</t>
    </rPh>
    <rPh sb="38" eb="39">
      <t>シャ</t>
    </rPh>
    <rPh sb="40" eb="42">
      <t>シャメイ</t>
    </rPh>
    <rPh sb="43" eb="45">
      <t>キサイ</t>
    </rPh>
    <rPh sb="56" eb="58">
      <t>シャメイ</t>
    </rPh>
    <rPh sb="59" eb="61">
      <t>キサイ</t>
    </rPh>
    <rPh sb="62" eb="64">
      <t>キョダク</t>
    </rPh>
    <phoneticPr fontId="2"/>
  </si>
  <si>
    <t>③</t>
    <phoneticPr fontId="2"/>
  </si>
  <si>
    <t>・他社の社名、商品の使用を損なう、あるいは事実と反する発表内容にはなっていない。
・該当会社のHP等で指定された形式(TMやRの記載、文字間隔など)で表示されている。
・ロゴ（②の場合）の場合許諾されている様態で表示されている。</t>
    <rPh sb="90" eb="92">
      <t>バアイ</t>
    </rPh>
    <rPh sb="94" eb="96">
      <t>バアイ</t>
    </rPh>
    <rPh sb="96" eb="98">
      <t>キョダク</t>
    </rPh>
    <rPh sb="103" eb="105">
      <t>ヨウタイ</t>
    </rPh>
    <rPh sb="106" eb="108">
      <t>ヒョウジ</t>
    </rPh>
    <phoneticPr fontId="2"/>
  </si>
  <si>
    <t>Ｆ　個人情報保護</t>
    <phoneticPr fontId="2"/>
  </si>
  <si>
    <t>個人情報の記載</t>
    <rPh sb="0" eb="2">
      <t>コジン</t>
    </rPh>
    <rPh sb="2" eb="4">
      <t>ジョウホウ</t>
    </rPh>
    <rPh sb="5" eb="7">
      <t>キサイ</t>
    </rPh>
    <phoneticPr fontId="2"/>
  </si>
  <si>
    <r>
      <rPr>
        <b/>
        <sz val="11"/>
        <color theme="1"/>
        <rFont val="游ゴシック"/>
        <family val="3"/>
        <charset val="128"/>
        <scheme val="minor"/>
      </rPr>
      <t>発表資料に個人情報（注）が記載されているか？</t>
    </r>
    <r>
      <rPr>
        <sz val="11"/>
        <color theme="1"/>
        <rFont val="游ゴシック"/>
        <family val="2"/>
        <charset val="128"/>
        <scheme val="minor"/>
      </rPr>
      <t xml:space="preserve">
Yes、Noいずれか該当する項の○を●にする。</t>
    </r>
    <rPh sb="2" eb="4">
      <t>シリョウ</t>
    </rPh>
    <phoneticPr fontId="2"/>
  </si>
  <si>
    <r>
      <t>注；「</t>
    </r>
    <r>
      <rPr>
        <sz val="10"/>
        <color rgb="FF0000FF"/>
        <rFont val="游ゴシック"/>
        <family val="3"/>
        <charset val="128"/>
        <scheme val="minor"/>
      </rPr>
      <t>個人情報</t>
    </r>
    <r>
      <rPr>
        <sz val="10"/>
        <color theme="1"/>
        <rFont val="游ゴシック"/>
        <family val="3"/>
        <charset val="128"/>
        <scheme val="minor"/>
      </rPr>
      <t>」とは、生存する個人に関する情報であって、当該情報に含まれる氏名、生年月日その他の記述等により特定の個人を識別することができるもの（他の情報と容易に照合することができ、それにより特定の個人を識別することができることとなるものを含む。）を指します。（個人情報保護法における定義）</t>
    </r>
    <rPh sb="131" eb="133">
      <t>コジン</t>
    </rPh>
    <rPh sb="133" eb="135">
      <t>ジョウホウ</t>
    </rPh>
    <rPh sb="135" eb="138">
      <t>ホゴホウ</t>
    </rPh>
    <rPh sb="142" eb="144">
      <t>テイギ</t>
    </rPh>
    <phoneticPr fontId="2"/>
  </si>
  <si>
    <t>TMSガイド「個人情報を第三者に提供する時の手続き」に則ってお進めください。</t>
  </si>
  <si>
    <r>
      <t xml:space="preserve">　Ｎｏ
</t>
    </r>
    <r>
      <rPr>
        <sz val="9"/>
        <color theme="1"/>
        <rFont val="游ゴシック"/>
        <family val="3"/>
        <charset val="128"/>
        <scheme val="minor"/>
      </rPr>
      <t>記載なし</t>
    </r>
    <rPh sb="4" eb="6">
      <t>キサイ</t>
    </rPh>
    <phoneticPr fontId="2"/>
  </si>
  <si>
    <r>
      <rPr>
        <b/>
        <sz val="11"/>
        <color theme="1"/>
        <rFont val="游ゴシック"/>
        <family val="3"/>
        <charset val="128"/>
        <scheme val="minor"/>
      </rPr>
      <t>個人情報は記載されていない。</t>
    </r>
    <r>
      <rPr>
        <sz val="11"/>
        <color theme="1"/>
        <rFont val="游ゴシック"/>
        <family val="2"/>
        <charset val="128"/>
        <scheme val="minor"/>
      </rPr>
      <t xml:space="preserve">
＝＞　Ｇ項に進む。</t>
    </r>
    <rPh sb="0" eb="2">
      <t>コジン</t>
    </rPh>
    <rPh sb="2" eb="4">
      <t>ジョウホウ</t>
    </rPh>
    <phoneticPr fontId="2"/>
  </si>
  <si>
    <r>
      <t xml:space="preserve">　Ｙｅｓ
</t>
    </r>
    <r>
      <rPr>
        <sz val="9"/>
        <color theme="1"/>
        <rFont val="游ゴシック"/>
        <family val="3"/>
        <charset val="128"/>
        <scheme val="minor"/>
      </rPr>
      <t>記載あり</t>
    </r>
    <phoneticPr fontId="2"/>
  </si>
  <si>
    <r>
      <t>個人情報が記載されているが、</t>
    </r>
    <r>
      <rPr>
        <b/>
        <sz val="11"/>
        <color rgb="FFFF0000"/>
        <rFont val="游ゴシック"/>
        <family val="3"/>
        <charset val="128"/>
        <scheme val="minor"/>
      </rPr>
      <t>当該個人若しくは当該個人情報の提供元から掲載を承諾することを示す文書がある</t>
    </r>
    <r>
      <rPr>
        <b/>
        <sz val="11"/>
        <color theme="1"/>
        <rFont val="游ゴシック"/>
        <family val="3"/>
        <charset val="128"/>
        <scheme val="minor"/>
      </rPr>
      <t xml:space="preserve">。
</t>
    </r>
    <r>
      <rPr>
        <sz val="11"/>
        <color theme="1"/>
        <rFont val="游ゴシック"/>
        <family val="3"/>
        <charset val="128"/>
        <scheme val="minor"/>
      </rPr>
      <t>＝＞　Ｇ項に進む。</t>
    </r>
    <phoneticPr fontId="2"/>
  </si>
  <si>
    <t>Ｇ　安全保障貿易管理(役務取引)　</t>
    <phoneticPr fontId="2"/>
  </si>
  <si>
    <t>技術情報
公知性</t>
    <rPh sb="0" eb="2">
      <t>ギジュツ</t>
    </rPh>
    <rPh sb="2" eb="4">
      <t>ジョウホウ</t>
    </rPh>
    <rPh sb="5" eb="7">
      <t>コウチ</t>
    </rPh>
    <rPh sb="7" eb="8">
      <t>セイ</t>
    </rPh>
    <phoneticPr fontId="2"/>
  </si>
  <si>
    <r>
      <rPr>
        <b/>
        <sz val="11"/>
        <color theme="1"/>
        <rFont val="游ゴシック"/>
        <family val="3"/>
        <charset val="128"/>
        <scheme val="minor"/>
      </rPr>
      <t xml:space="preserve">発表資料等は、公知にするための発表か？
</t>
    </r>
    <r>
      <rPr>
        <sz val="11"/>
        <color theme="1"/>
        <rFont val="游ゴシック"/>
        <family val="3"/>
        <charset val="128"/>
        <scheme val="minor"/>
      </rPr>
      <t>＝＞予定している発表が①②の該当する方を●にする。</t>
    </r>
    <rPh sb="0" eb="2">
      <t>ハッピョウ</t>
    </rPh>
    <rPh sb="7" eb="9">
      <t>コウチ</t>
    </rPh>
    <rPh sb="15" eb="17">
      <t>ハッピョウ</t>
    </rPh>
    <rPh sb="38" eb="39">
      <t>ホウ</t>
    </rPh>
    <phoneticPr fontId="2"/>
  </si>
  <si>
    <t>①公知にするための発表</t>
    <rPh sb="1" eb="3">
      <t>コウチ</t>
    </rPh>
    <rPh sb="9" eb="11">
      <t>ハッピョウ</t>
    </rPh>
    <phoneticPr fontId="2"/>
  </si>
  <si>
    <t>発表資料等は以下の何れかに該当する（該当するものが一つでもあれば●）。
・出版予定書籍原稿、量販されてる／無償で制限なく配布される雑誌への投稿記事
・誰でもが制限なくアクセスできるＨＰへの掲載記事
・誰にでも制限なく配布するパンフレット、説明資料
・誰にでも制限なく販売される装置/プログラム等に添付する説明資料（操作説明書等）
・学会発表用原稿、投稿論文
・誰でもが制限なく参加できる展示会、セミナー等での講演用資料、展示パネル、配布資料
・報道発表原稿
＝＞Ｇ２項のチェックに進む</t>
    <rPh sb="0" eb="2">
      <t>ハッピョウ</t>
    </rPh>
    <rPh sb="2" eb="4">
      <t>シリョウ</t>
    </rPh>
    <rPh sb="4" eb="5">
      <t>ナド</t>
    </rPh>
    <rPh sb="6" eb="8">
      <t>イカ</t>
    </rPh>
    <rPh sb="9" eb="10">
      <t>イヅ</t>
    </rPh>
    <rPh sb="13" eb="15">
      <t>ガイトウ</t>
    </rPh>
    <rPh sb="18" eb="20">
      <t>ガイトウ</t>
    </rPh>
    <rPh sb="25" eb="26">
      <t>ヒト</t>
    </rPh>
    <rPh sb="39" eb="41">
      <t>ヨテイ</t>
    </rPh>
    <rPh sb="41" eb="43">
      <t>ショセキ</t>
    </rPh>
    <rPh sb="43" eb="45">
      <t>ゲンコウ</t>
    </rPh>
    <rPh sb="46" eb="48">
      <t>リョウハン</t>
    </rPh>
    <rPh sb="53" eb="55">
      <t>ムショウ</t>
    </rPh>
    <rPh sb="56" eb="58">
      <t>セイゲン</t>
    </rPh>
    <rPh sb="60" eb="62">
      <t>ハイフ</t>
    </rPh>
    <rPh sb="65" eb="67">
      <t>ザッシ</t>
    </rPh>
    <rPh sb="69" eb="71">
      <t>トウコウ</t>
    </rPh>
    <rPh sb="71" eb="73">
      <t>キジ</t>
    </rPh>
    <rPh sb="233" eb="234">
      <t>コウ</t>
    </rPh>
    <rPh sb="240" eb="241">
      <t>スス</t>
    </rPh>
    <phoneticPr fontId="2"/>
  </si>
  <si>
    <t>②それ以外</t>
    <rPh sb="3" eb="5">
      <t>イガイ</t>
    </rPh>
    <phoneticPr fontId="2"/>
  </si>
  <si>
    <r>
      <rPr>
        <b/>
        <sz val="11"/>
        <color theme="1"/>
        <rFont val="游ゴシック"/>
        <family val="3"/>
        <charset val="128"/>
        <scheme val="minor"/>
      </rPr>
      <t>発表資料等は上記の何れにも該当しない</t>
    </r>
    <r>
      <rPr>
        <sz val="11"/>
        <color theme="1"/>
        <rFont val="游ゴシック"/>
        <family val="2"/>
        <charset val="128"/>
        <scheme val="minor"/>
      </rPr>
      <t xml:space="preserve">
＝＞Ｇ２項のチェックに進む</t>
    </r>
    <rPh sb="6" eb="8">
      <t>ジョウキ</t>
    </rPh>
    <rPh sb="9" eb="10">
      <t>イヅ</t>
    </rPh>
    <rPh sb="13" eb="15">
      <t>ガイトウ</t>
    </rPh>
    <phoneticPr fontId="2"/>
  </si>
  <si>
    <t>Ｇ２</t>
    <phoneticPr fontId="2"/>
  </si>
  <si>
    <t>貨物、プログラム、技術情報の取引有無</t>
    <rPh sb="0" eb="2">
      <t>カモツ</t>
    </rPh>
    <rPh sb="9" eb="11">
      <t>ギジュツ</t>
    </rPh>
    <rPh sb="11" eb="13">
      <t>ジョウホウ</t>
    </rPh>
    <rPh sb="14" eb="16">
      <t>トリヒキ</t>
    </rPh>
    <rPh sb="16" eb="18">
      <t>ウム</t>
    </rPh>
    <phoneticPr fontId="2"/>
  </si>
  <si>
    <r>
      <rPr>
        <b/>
        <sz val="11"/>
        <color theme="1"/>
        <rFont val="游ゴシック"/>
        <family val="3"/>
        <charset val="128"/>
        <scheme val="minor"/>
      </rPr>
      <t>外部発表する情報以外に、</t>
    </r>
    <r>
      <rPr>
        <b/>
        <sz val="11"/>
        <color rgb="FFFF0000"/>
        <rFont val="游ゴシック"/>
        <family val="3"/>
        <charset val="128"/>
        <scheme val="minor"/>
      </rPr>
      <t>貨物・機器の海外持ち出し、プログラム・技術情報の非居住者への提供</t>
    </r>
    <r>
      <rPr>
        <b/>
        <sz val="11"/>
        <color theme="1"/>
        <rFont val="游ゴシック"/>
        <family val="3"/>
        <charset val="128"/>
        <scheme val="minor"/>
      </rPr>
      <t>があるか？</t>
    </r>
    <r>
      <rPr>
        <sz val="11"/>
        <color theme="1"/>
        <rFont val="游ゴシック"/>
        <family val="3"/>
        <charset val="128"/>
        <scheme val="minor"/>
      </rPr>
      <t>（海外展示会、国際学会講演等を想定）
Yes、Noいずれか該当する項の○を●にする。</t>
    </r>
    <rPh sb="6" eb="8">
      <t>ジョウホウ</t>
    </rPh>
    <rPh sb="8" eb="10">
      <t>イガイ</t>
    </rPh>
    <rPh sb="15" eb="17">
      <t>キキ</t>
    </rPh>
    <rPh sb="31" eb="33">
      <t>ギジュツ</t>
    </rPh>
    <rPh sb="33" eb="35">
      <t>ジョウホウ</t>
    </rPh>
    <rPh sb="36" eb="40">
      <t>ヒキョジュウシャ</t>
    </rPh>
    <rPh sb="50" eb="52">
      <t>カイガイ</t>
    </rPh>
    <rPh sb="62" eb="63">
      <t>ナド</t>
    </rPh>
    <rPh sb="64" eb="66">
      <t>ソウテイ</t>
    </rPh>
    <phoneticPr fontId="2"/>
  </si>
  <si>
    <t>Yes</t>
    <phoneticPr fontId="2"/>
  </si>
  <si>
    <r>
      <t>貨物・機器の海外持ち出し、プログラム・技術情報の非居住者への</t>
    </r>
    <r>
      <rPr>
        <b/>
        <sz val="11"/>
        <color rgb="FFFF0000"/>
        <rFont val="游ゴシック"/>
        <family val="3"/>
        <charset val="128"/>
        <scheme val="minor"/>
      </rPr>
      <t>提供がある。</t>
    </r>
    <rPh sb="0" eb="2">
      <t>カモツ</t>
    </rPh>
    <rPh sb="3" eb="5">
      <t>キキ</t>
    </rPh>
    <rPh sb="6" eb="8">
      <t>カイガイ</t>
    </rPh>
    <rPh sb="8" eb="9">
      <t>モ</t>
    </rPh>
    <rPh sb="10" eb="11">
      <t>ダ</t>
    </rPh>
    <rPh sb="19" eb="21">
      <t>ギジュツ</t>
    </rPh>
    <rPh sb="21" eb="23">
      <t>ジョウホウ</t>
    </rPh>
    <rPh sb="24" eb="28">
      <t>ヒキョジュウシャ</t>
    </rPh>
    <rPh sb="30" eb="32">
      <t>テイキョウ</t>
    </rPh>
    <phoneticPr fontId="2"/>
  </si>
  <si>
    <t>No</t>
    <phoneticPr fontId="2"/>
  </si>
  <si>
    <r>
      <t>貨物・機器の海外持ち出し、プログラム・技術情報の非居住者への</t>
    </r>
    <r>
      <rPr>
        <b/>
        <sz val="11"/>
        <color rgb="FFFF0000"/>
        <rFont val="游ゴシック"/>
        <family val="3"/>
        <charset val="128"/>
        <scheme val="minor"/>
      </rPr>
      <t>提供がない。</t>
    </r>
    <phoneticPr fontId="2"/>
  </si>
  <si>
    <t>Ｈ　添付資料確認</t>
    <phoneticPr fontId="2"/>
  </si>
  <si>
    <t>Ｈ</t>
    <phoneticPr fontId="2"/>
  </si>
  <si>
    <r>
      <t>Ａ項からＧ項で、チェック結果が</t>
    </r>
    <r>
      <rPr>
        <b/>
        <u/>
        <sz val="11"/>
        <color theme="1"/>
        <rFont val="游ゴシック"/>
        <family val="3"/>
        <charset val="128"/>
        <scheme val="minor"/>
      </rPr>
      <t>、「◆」となっている項目の「指示事項」に記載の資料や特記事項が全て決裁文書に添付又は記載されていれば、サブチェック結果の○を●にする</t>
    </r>
    <r>
      <rPr>
        <sz val="11"/>
        <color theme="1"/>
        <rFont val="游ゴシック"/>
        <family val="2"/>
        <charset val="128"/>
        <scheme val="minor"/>
      </rPr>
      <t>。</t>
    </r>
    <rPh sb="29" eb="31">
      <t>シジ</t>
    </rPh>
    <rPh sb="31" eb="33">
      <t>ジコウ</t>
    </rPh>
    <rPh sb="35" eb="37">
      <t>キサイ</t>
    </rPh>
    <rPh sb="38" eb="40">
      <t>シリョウ</t>
    </rPh>
    <rPh sb="41" eb="43">
      <t>トッキ</t>
    </rPh>
    <rPh sb="43" eb="45">
      <t>ジコウ</t>
    </rPh>
    <rPh sb="46" eb="47">
      <t>スベ</t>
    </rPh>
    <rPh sb="48" eb="50">
      <t>ケッサイ</t>
    </rPh>
    <rPh sb="50" eb="52">
      <t>ブンショ</t>
    </rPh>
    <rPh sb="53" eb="55">
      <t>テンプ</t>
    </rPh>
    <rPh sb="55" eb="56">
      <t>マタ</t>
    </rPh>
    <rPh sb="57" eb="59">
      <t>キサイ</t>
    </rPh>
    <rPh sb="72" eb="74">
      <t>ケッカ</t>
    </rPh>
    <phoneticPr fontId="2"/>
  </si>
  <si>
    <t>「◆」となっている項目は、統括表シートでも確認できます。</t>
    <rPh sb="13" eb="15">
      <t>トウカツ</t>
    </rPh>
    <rPh sb="15" eb="16">
      <t>ヒョウ</t>
    </rPh>
    <rPh sb="21" eb="23">
      <t>カクニン</t>
    </rPh>
    <phoneticPr fontId="2"/>
  </si>
  <si>
    <t>外部発表_広告表示チェックシート（(A)(B)共通）</t>
    <rPh sb="0" eb="4">
      <t>ガイブハッピョウ</t>
    </rPh>
    <rPh sb="5" eb="9">
      <t>コウコクヒョウジ</t>
    </rPh>
    <rPh sb="23" eb="25">
      <t>キョウツウ</t>
    </rPh>
    <phoneticPr fontId="2"/>
  </si>
  <si>
    <t>4. 人権関連</t>
    <phoneticPr fontId="2"/>
  </si>
  <si>
    <t>性別による役割の固定を行っていない</t>
    <rPh sb="11" eb="12">
      <t>オコナ</t>
    </rPh>
    <phoneticPr fontId="3"/>
  </si>
  <si>
    <t>アンコンシャス・バイアスに注意し、ステレオタイプな描写を行っていない
（彼、彼女など性別を特定できる表現ではなく、ご本人のお名前や、性別を特定しない呼び方に変更している）</t>
    <rPh sb="13" eb="15">
      <t>チュウイ</t>
    </rPh>
    <rPh sb="25" eb="27">
      <t>ビョウシャ</t>
    </rPh>
    <rPh sb="28" eb="29">
      <t>オコナ</t>
    </rPh>
    <rPh sb="36" eb="37">
      <t>カレ</t>
    </rPh>
    <rPh sb="38" eb="40">
      <t>カノジョ</t>
    </rPh>
    <rPh sb="42" eb="44">
      <t>セイベツ</t>
    </rPh>
    <rPh sb="45" eb="47">
      <t>トクテイ</t>
    </rPh>
    <rPh sb="50" eb="52">
      <t>ヒョウゲン</t>
    </rPh>
    <phoneticPr fontId="3"/>
  </si>
  <si>
    <t>不自然な表現、不快な表現となっておらず、人体が見切れているように見えるイラストは利用していない
（見切れている場合は壁や机など境界とセットで描いている）</t>
    <phoneticPr fontId="2"/>
  </si>
  <si>
    <t>擬人化した動物の画を使用する場合、差別に通じる不快な表現となっていない</t>
    <phoneticPr fontId="2"/>
  </si>
  <si>
    <t>思想・宗教・民族等のシンボルあるいはそれを模した図案などを使用していない</t>
    <phoneticPr fontId="2"/>
  </si>
  <si>
    <t>セクシャルハラスメントをはじめ、各種ハラスメントを想起させるイラスト・コンテンツとなるおそれはない</t>
    <phoneticPr fontId="2"/>
  </si>
  <si>
    <t>海外において否定的なハンドサインを使っていない（サムズアップ、ピースサイン、OKサイン、特定の指を立てる、等）</t>
    <phoneticPr fontId="2"/>
  </si>
  <si>
    <t>次の差別につながるおそれのある言葉の使用や表現はない
・部落差別　・障がい者差別　・性の差別（性的指向の差別・性自認の差別含む）・人種民族差別　・職業差別　
・身体差別　・エイズ差別　・学歴差別　・思想、信条に対する差別　・地域差別　・年齢差別　・階級差別　
・外国人に対する差別</t>
    <rPh sb="61" eb="62">
      <t>フク</t>
    </rPh>
    <phoneticPr fontId="3"/>
  </si>
  <si>
    <t>5. サステナビリティ関連</t>
    <phoneticPr fontId="2"/>
  </si>
  <si>
    <t>不都合な事実を伝えず、良い情報のみを伝達している内容になっていない
（製品や企業活動の一部にのみ該当する環境訴求をもって、製品や企業活動全体に関する環境訴求を行っていない、　また、カーボン・オフセットのみに基づき、環境への悪影響が軽減されたなどと訴求していない）</t>
    <rPh sb="24" eb="26">
      <t>ナイヨウ</t>
    </rPh>
    <phoneticPr fontId="3"/>
  </si>
  <si>
    <t>環境に関する訴求では、内容が国際社会での合意、科学的見解と矛盾していない
（国連気候変動枠組条約締約国会議(COP)で採択される条約や、気候変動に関する政府間パネル(IPCC)の「1.5℃特別報告書」等の内容と矛盾していない）</t>
    <phoneticPr fontId="3"/>
  </si>
  <si>
    <t>国や地域、時代や社会の状況を考慮した内容となっている
（個人のリテラシーや国や社会の状況によって、具体的にどのような表現がウォッシュに相当するのかの判断基準は大きく異なるが、宗教や習慣、信条等に配慮した内容になっている）</t>
    <phoneticPr fontId="3"/>
  </si>
  <si>
    <t>最新の「環境表示ガイドライン」※に沿って、下記の 5 つの基本項目に沿っている
　① あいまいな表現や環境主張は行わないこと
　② 環境主張の内容に説明文を付けること
　③ 環境主張の検証に必要なデータ及び評価方法が提供可能であること
　④ 製品又は工程における比較主張は LCA 評価、数値等により適切になされていること
　⑤ 評価及び検証のための情報にアクセスが可能であること
※環境省「環境表示ガイドライン」
　https://www.env.go.jp/policy/hozen/green/ecolabel/guideline/guideline.pdf</t>
    <rPh sb="0" eb="2">
      <t>サイシン</t>
    </rPh>
    <rPh sb="6" eb="8">
      <t>ヒョウジ</t>
    </rPh>
    <rPh sb="17" eb="18">
      <t>ソ</t>
    </rPh>
    <rPh sb="34" eb="35">
      <t>ソ</t>
    </rPh>
    <rPh sb="192" eb="195">
      <t>カンキョウショウ</t>
    </rPh>
    <rPh sb="196" eb="198">
      <t>カンキョウ</t>
    </rPh>
    <rPh sb="198" eb="200">
      <t>ヒョウジ</t>
    </rPh>
    <phoneticPr fontId="3"/>
  </si>
  <si>
    <t>【SDGsロゴを使用する場合】
国連のガイドライン※を守っている
※下記参照
　・ ポスター・ロゴ・アイコンおよびガイドライン（日本語：国際連合広報センター）：
　　https://www.unic.or.jp/files/SDG_Guidelines_AUG_2019_Final_ja.pdf
　・よく寄せられる質問（日本語：国際連合広報センター）：
　　https://www.unic.or.jp/files/SDG_Branding_FAQ_Japanese.pdf</t>
    <rPh sb="8" eb="10">
      <t>シヨウ</t>
    </rPh>
    <rPh sb="12" eb="14">
      <t>バアイ</t>
    </rPh>
    <rPh sb="27" eb="28">
      <t>マモ</t>
    </rPh>
    <rPh sb="34" eb="36">
      <t>カキ</t>
    </rPh>
    <rPh sb="36" eb="38">
      <t>サンショウ</t>
    </rPh>
    <phoneticPr fontId="3"/>
  </si>
  <si>
    <t>年月日</t>
    <rPh sb="0" eb="3">
      <t>ネンガッピ</t>
    </rPh>
    <phoneticPr fontId="2"/>
  </si>
  <si>
    <t>版数</t>
    <rPh sb="0" eb="2">
      <t>ハンスウ</t>
    </rPh>
    <phoneticPr fontId="2"/>
  </si>
  <si>
    <t>改版内容</t>
    <rPh sb="0" eb="2">
      <t>カイハン</t>
    </rPh>
    <rPh sb="2" eb="4">
      <t>ナイヨウ</t>
    </rPh>
    <phoneticPr fontId="2"/>
  </si>
  <si>
    <t>2024/12/</t>
    <phoneticPr fontId="2"/>
  </si>
  <si>
    <t>持株広告審査制度に従ったチェック項目の見直し</t>
    <rPh sb="0" eb="2">
      <t>モチカブ</t>
    </rPh>
    <rPh sb="2" eb="4">
      <t>コウコク</t>
    </rPh>
    <rPh sb="4" eb="6">
      <t>シンサ</t>
    </rPh>
    <rPh sb="6" eb="8">
      <t>セイド</t>
    </rPh>
    <rPh sb="9" eb="10">
      <t>シタガ</t>
    </rPh>
    <rPh sb="16" eb="18">
      <t>コウモク</t>
    </rPh>
    <rPh sb="19" eb="21">
      <t>ミナオ</t>
    </rPh>
    <phoneticPr fontId="2"/>
  </si>
  <si>
    <t xml:space="preserve">2025/11/ </t>
    <phoneticPr fontId="2"/>
  </si>
  <si>
    <t>・持株広告審査制度改正に従ったチェック項目の見直し
・知財財産権に対する確認項目の追加
・補足事項の追記</t>
    <rPh sb="1" eb="3">
      <t>モチカブ</t>
    </rPh>
    <rPh sb="3" eb="5">
      <t>コウコク</t>
    </rPh>
    <rPh sb="5" eb="7">
      <t>シンサ</t>
    </rPh>
    <rPh sb="7" eb="9">
      <t>セイド</t>
    </rPh>
    <rPh sb="9" eb="11">
      <t>カイセイ</t>
    </rPh>
    <rPh sb="12" eb="13">
      <t>シタガ</t>
    </rPh>
    <rPh sb="19" eb="21">
      <t>コウモク</t>
    </rPh>
    <rPh sb="22" eb="24">
      <t>ミナオ</t>
    </rPh>
    <rPh sb="27" eb="29">
      <t>チザイ</t>
    </rPh>
    <rPh sb="29" eb="31">
      <t>ザイサン</t>
    </rPh>
    <rPh sb="31" eb="32">
      <t>ケン</t>
    </rPh>
    <rPh sb="33" eb="34">
      <t>タイ</t>
    </rPh>
    <rPh sb="36" eb="38">
      <t>カクニン</t>
    </rPh>
    <rPh sb="38" eb="40">
      <t>コウモク</t>
    </rPh>
    <rPh sb="41" eb="43">
      <t>ツイカ</t>
    </rPh>
    <rPh sb="45" eb="47">
      <t>ホソク</t>
    </rPh>
    <rPh sb="47" eb="49">
      <t>ジコウ</t>
    </rPh>
    <rPh sb="50" eb="52">
      <t>ツイキ</t>
    </rPh>
    <phoneticPr fontId="2"/>
  </si>
  <si>
    <t>〇</t>
  </si>
  <si>
    <t>claude codeのログにタイムスタンプをいれよう</t>
  </si>
  <si>
    <t>Webサイトへの記事投稿</t>
  </si>
  <si>
    <t>日本</t>
  </si>
  <si>
    <t>クラスメソッド株式会社</t>
  </si>
  <si>
    <t>Zenn</t>
  </si>
  <si>
    <t>SED</t>
  </si>
  <si>
    <t>上原潤二</t>
  </si>
  <si>
    <t>なし</t>
  </si>
  <si>
    <t>当社所属社員＋当社の技術力アピール</t>
  </si>
  <si>
    <t>発表原稿</t>
    <phoneticPr fontId="2"/>
  </si>
  <si>
    <t>SED</t>
    <phoneticPr fontId="2"/>
  </si>
  <si>
    <t>●</t>
  </si>
  <si>
    <t>当社および当社社員の技術力を示す好機となることから当社名および個人名を記載する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</si>
</sst>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Red]&quot;¥&quot;\-#,##0"/>
    <numFmt numFmtId="176" formatCode="0_ "/>
    <numFmt numFmtId="177" formatCode="yyyy&quot;年&quot;m&quot;月&quot;;@"/>
  </numFmts>
  <fonts count="41">
    <font>
      <sz val="11"/>
      <color theme="1"/>
      <name val="游ゴシック"/>
      <family val="2"/>
      <charset val="128"/>
      <scheme val="minor"/>
    </font>
    <font>
      <b/>
      <sz val="14"/>
      <color theme="1"/>
      <name val="游ゴシック"/>
      <family val="3"/>
      <charset val="128"/>
      <scheme val="minor"/>
    </font>
    <font>
      <sz val="6"/>
      <name val="游ゴシック"/>
      <family val="2"/>
      <charset val="128"/>
      <scheme val="minor"/>
    </font>
    <font>
      <sz val="6"/>
      <name val="ＭＳ Ｐゴシック"/>
      <family val="3"/>
      <charset val="128"/>
    </font>
    <font>
      <b/>
      <sz val="11"/>
      <color theme="1"/>
      <name val="游ゴシック"/>
      <family val="3"/>
      <charset val="128"/>
      <scheme val="minor"/>
    </font>
    <font>
      <sz val="11"/>
      <name val="游ゴシック"/>
      <family val="3"/>
      <charset val="128"/>
      <scheme val="minor"/>
    </font>
    <font>
      <sz val="11"/>
      <color theme="1"/>
      <name val="游ゴシック"/>
      <family val="2"/>
      <charset val="128"/>
      <scheme val="minor"/>
    </font>
    <font>
      <sz val="11"/>
      <color rgb="FFFF0000"/>
      <name val="游ゴシック"/>
      <family val="2"/>
      <charset val="128"/>
      <scheme val="minor"/>
    </font>
    <font>
      <b/>
      <sz val="11"/>
      <color rgb="FFFF0000"/>
      <name val="游ゴシック"/>
      <family val="3"/>
      <charset val="128"/>
      <scheme val="minor"/>
    </font>
    <font>
      <sz val="12"/>
      <color theme="1"/>
      <name val="游ゴシック"/>
      <family val="2"/>
      <charset val="128"/>
      <scheme val="minor"/>
    </font>
    <font>
      <sz val="10.5"/>
      <color theme="1"/>
      <name val="ＭＳ ゴシック"/>
      <family val="3"/>
      <charset val="128"/>
    </font>
    <font>
      <sz val="18"/>
      <color theme="1"/>
      <name val="游ゴシック"/>
      <family val="2"/>
      <charset val="128"/>
      <scheme val="minor"/>
    </font>
    <font>
      <b/>
      <sz val="18"/>
      <color theme="1"/>
      <name val="游ゴシック"/>
      <family val="3"/>
      <charset val="128"/>
      <scheme val="minor"/>
    </font>
    <font>
      <sz val="18"/>
      <color rgb="FF0000FF"/>
      <name val="游ゴシック"/>
      <family val="3"/>
      <charset val="128"/>
      <scheme val="minor"/>
    </font>
    <font>
      <b/>
      <sz val="10"/>
      <color rgb="FFFF0000"/>
      <name val="游ゴシック"/>
      <family val="3"/>
      <charset val="128"/>
      <scheme val="minor"/>
    </font>
    <font>
      <b/>
      <sz val="12"/>
      <color theme="1"/>
      <name val="游ゴシック"/>
      <family val="3"/>
      <charset val="128"/>
      <scheme val="minor"/>
    </font>
    <font>
      <sz val="11"/>
      <color theme="1"/>
      <name val="ＭＳ ゴシック"/>
      <family val="3"/>
      <charset val="128"/>
    </font>
    <font>
      <sz val="11"/>
      <color theme="1"/>
      <name val="游ゴシック"/>
      <family val="3"/>
      <charset val="128"/>
      <scheme val="minor"/>
    </font>
    <font>
      <sz val="11"/>
      <color rgb="FFFF0000"/>
      <name val="游ゴシック"/>
      <family val="3"/>
      <charset val="128"/>
      <scheme val="minor"/>
    </font>
    <font>
      <sz val="11"/>
      <name val="游ゴシック"/>
      <family val="2"/>
      <charset val="128"/>
      <scheme val="minor"/>
    </font>
    <font>
      <sz val="9"/>
      <color theme="1"/>
      <name val="游ゴシック"/>
      <family val="2"/>
      <charset val="128"/>
      <scheme val="minor"/>
    </font>
    <font>
      <sz val="9"/>
      <color theme="1"/>
      <name val="游ゴシック"/>
      <family val="3"/>
      <charset val="128"/>
      <scheme val="minor"/>
    </font>
    <font>
      <u/>
      <sz val="11"/>
      <color theme="10"/>
      <name val="游ゴシック"/>
      <family val="2"/>
      <charset val="128"/>
      <scheme val="minor"/>
    </font>
    <font>
      <sz val="18"/>
      <color theme="1"/>
      <name val="游ゴシック"/>
      <family val="3"/>
      <charset val="128"/>
      <scheme val="minor"/>
    </font>
    <font>
      <b/>
      <u/>
      <sz val="12"/>
      <color rgb="FFFF0000"/>
      <name val="游ゴシック"/>
      <family val="3"/>
      <charset val="128"/>
      <scheme val="minor"/>
    </font>
    <font>
      <sz val="12"/>
      <color theme="1"/>
      <name val="游ゴシック"/>
      <family val="3"/>
      <charset val="128"/>
      <scheme val="minor"/>
    </font>
    <font>
      <b/>
      <sz val="16"/>
      <color rgb="FF0000FF"/>
      <name val="游ゴシック"/>
      <family val="3"/>
      <charset val="128"/>
      <scheme val="minor"/>
    </font>
    <font>
      <sz val="14"/>
      <color theme="1"/>
      <name val="游ゴシック"/>
      <family val="2"/>
      <charset val="128"/>
      <scheme val="minor"/>
    </font>
    <font>
      <b/>
      <sz val="11"/>
      <name val="游ゴシック"/>
      <family val="3"/>
      <charset val="128"/>
      <scheme val="minor"/>
    </font>
    <font>
      <b/>
      <sz val="10.5"/>
      <name val="ＭＳ ゴシック"/>
      <family val="3"/>
      <charset val="128"/>
    </font>
    <font>
      <b/>
      <sz val="10.5"/>
      <color rgb="FFFF0000"/>
      <name val="ＭＳ ゴシック"/>
      <family val="3"/>
      <charset val="128"/>
    </font>
    <font>
      <b/>
      <sz val="10.5"/>
      <color theme="1"/>
      <name val="ＭＳ ゴシック"/>
      <family val="3"/>
      <charset val="128"/>
    </font>
    <font>
      <sz val="10"/>
      <color theme="1"/>
      <name val="游ゴシック"/>
      <family val="2"/>
      <charset val="128"/>
      <scheme val="minor"/>
    </font>
    <font>
      <sz val="10"/>
      <color theme="1"/>
      <name val="游ゴシック"/>
      <family val="3"/>
      <charset val="128"/>
      <scheme val="minor"/>
    </font>
    <font>
      <b/>
      <sz val="11"/>
      <color rgb="FF0000FF"/>
      <name val="游ゴシック"/>
      <family val="3"/>
      <charset val="128"/>
      <scheme val="minor"/>
    </font>
    <font>
      <sz val="10"/>
      <color rgb="FF0000FF"/>
      <name val="游ゴシック"/>
      <family val="3"/>
      <charset val="128"/>
      <scheme val="minor"/>
    </font>
    <font>
      <b/>
      <u/>
      <sz val="11"/>
      <color theme="1"/>
      <name val="游ゴシック"/>
      <family val="3"/>
      <charset val="128"/>
      <scheme val="minor"/>
    </font>
    <font>
      <sz val="20"/>
      <color theme="1"/>
      <name val="游ゴシック"/>
      <family val="2"/>
      <charset val="128"/>
      <scheme val="minor"/>
    </font>
    <font>
      <sz val="11"/>
      <color theme="1"/>
      <name val="Segoe UI Symbol"/>
      <family val="2"/>
    </font>
    <font>
      <sz val="9"/>
      <color rgb="FF000000"/>
      <name val="Meiryo UI"/>
      <family val="2"/>
      <charset val="128"/>
    </font>
    <font>
      <sz val="14"/>
      <color rgb="FF000000"/>
      <name val="游ゴシック"/>
      <family val="3"/>
      <charset val="128"/>
      <scheme val="minor"/>
    </font>
  </fonts>
  <fills count="10">
    <fill>
      <patternFill patternType="none"/>
    </fill>
    <fill>
      <patternFill patternType="gray125"/>
    </fill>
    <fill>
      <patternFill patternType="solid">
        <fgColor theme="0" tint="-0.14996795556505021"/>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6" tint="0.39997558519241921"/>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rgb="FFFCE4D6"/>
        <bgColor rgb="FF000000"/>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thin">
        <color indexed="64"/>
      </right>
      <top/>
      <bottom/>
      <diagonal/>
    </border>
    <border>
      <left/>
      <right style="thin">
        <color auto="1"/>
      </right>
      <top style="thin">
        <color auto="1"/>
      </top>
      <bottom/>
      <diagonal/>
    </border>
    <border>
      <left/>
      <right/>
      <top style="thin">
        <color auto="1"/>
      </top>
      <bottom style="thin">
        <color auto="1"/>
      </bottom>
      <diagonal/>
    </border>
    <border>
      <left style="medium">
        <color auto="1"/>
      </left>
      <right style="medium">
        <color auto="1"/>
      </right>
      <top style="medium">
        <color auto="1"/>
      </top>
      <bottom style="medium">
        <color auto="1"/>
      </bottom>
      <diagonal/>
    </border>
    <border>
      <left style="thin">
        <color auto="1"/>
      </left>
      <right/>
      <top/>
      <bottom style="thin">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style="medium">
        <color auto="1"/>
      </left>
      <right style="medium">
        <color auto="1"/>
      </right>
      <top/>
      <bottom style="dashed">
        <color auto="1"/>
      </bottom>
      <diagonal/>
    </border>
    <border>
      <left style="medium">
        <color auto="1"/>
      </left>
      <right/>
      <top/>
      <bottom/>
      <diagonal/>
    </border>
    <border>
      <left style="medium">
        <color auto="1"/>
      </left>
      <right style="medium">
        <color auto="1"/>
      </right>
      <top style="dashed">
        <color auto="1"/>
      </top>
      <bottom style="dashed">
        <color auto="1"/>
      </bottom>
      <diagonal/>
    </border>
    <border>
      <left style="medium">
        <color auto="1"/>
      </left>
      <right/>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medium">
        <color auto="1"/>
      </right>
      <top style="dashed">
        <color auto="1"/>
      </top>
      <bottom/>
      <diagonal/>
    </border>
    <border>
      <left style="medium">
        <color auto="1"/>
      </left>
      <right style="medium">
        <color auto="1"/>
      </right>
      <top style="medium">
        <color auto="1"/>
      </top>
      <bottom style="dashed">
        <color auto="1"/>
      </bottom>
      <diagonal/>
    </border>
    <border>
      <left style="medium">
        <color auto="1"/>
      </left>
      <right style="medium">
        <color auto="1"/>
      </right>
      <top style="dashed">
        <color auto="1"/>
      </top>
      <bottom style="medium">
        <color auto="1"/>
      </bottom>
      <diagonal/>
    </border>
    <border>
      <left style="thin">
        <color auto="1"/>
      </left>
      <right/>
      <top style="thin">
        <color auto="1"/>
      </top>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auto="1"/>
      </left>
      <right/>
      <top/>
      <bottom/>
      <diagonal/>
    </border>
    <border>
      <left style="thin">
        <color auto="1"/>
      </left>
      <right style="thin">
        <color auto="1"/>
      </right>
      <top style="thin">
        <color indexed="64"/>
      </top>
      <bottom style="thin">
        <color theme="7" tint="0.39994506668294322"/>
      </bottom>
      <diagonal/>
    </border>
    <border>
      <left style="thin">
        <color auto="1"/>
      </left>
      <right style="thin">
        <color auto="1"/>
      </right>
      <top style="thin">
        <color theme="7" tint="0.39994506668294322"/>
      </top>
      <bottom style="thin">
        <color theme="7" tint="0.39994506668294322"/>
      </bottom>
      <diagonal/>
    </border>
    <border>
      <left style="thin">
        <color auto="1"/>
      </left>
      <right style="thin">
        <color auto="1"/>
      </right>
      <top style="thin">
        <color theme="7" tint="0.39994506668294322"/>
      </top>
      <bottom style="thin">
        <color auto="1"/>
      </bottom>
      <diagonal/>
    </border>
    <border>
      <left/>
      <right style="thin">
        <color auto="1"/>
      </right>
      <top style="thin">
        <color theme="7" tint="0.39994506668294322"/>
      </top>
      <bottom style="thin">
        <color indexed="64"/>
      </bottom>
      <diagonal/>
    </border>
    <border>
      <left style="thin">
        <color auto="1"/>
      </left>
      <right style="thin">
        <color auto="1"/>
      </right>
      <top style="thin">
        <color auto="1"/>
      </top>
      <bottom style="hair">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style="thin">
        <color auto="1"/>
      </top>
      <bottom style="dashed">
        <color indexed="64"/>
      </bottom>
      <diagonal/>
    </border>
    <border>
      <left/>
      <right style="thin">
        <color auto="1"/>
      </right>
      <top/>
      <bottom/>
      <diagonal/>
    </border>
  </borders>
  <cellStyleXfs count="3">
    <xf numFmtId="0" fontId="0" fillId="0" borderId="0">
      <alignment vertical="center"/>
    </xf>
    <xf numFmtId="6" fontId="6" fillId="0" borderId="0" applyFont="0" applyFill="0" applyBorder="0" applyAlignment="0" applyProtection="0">
      <alignment vertical="center"/>
    </xf>
    <xf numFmtId="0" fontId="22" fillId="0" borderId="0" applyNumberFormat="0" applyFill="0" applyBorder="0" applyAlignment="0" applyProtection="0">
      <alignment vertical="center"/>
    </xf>
  </cellStyleXfs>
  <cellXfs count="298">
    <xf numFmtId="0" fontId="0" fillId="0" borderId="0" xfId="0">
      <alignment vertical="center"/>
    </xf>
    <xf numFmtId="0" fontId="0" fillId="0" borderId="0" xfId="0" applyAlignment="1">
      <alignment horizontal="left" vertical="center"/>
    </xf>
    <xf numFmtId="0" fontId="0" fillId="0" borderId="0" xfId="0" applyAlignment="1">
      <alignment horizontal="right" vertical="center"/>
    </xf>
    <xf numFmtId="0" fontId="4" fillId="0" borderId="0" xfId="0" applyFont="1">
      <alignment vertical="center"/>
    </xf>
    <xf numFmtId="0" fontId="0" fillId="0" borderId="1" xfId="0" applyBorder="1">
      <alignment vertical="center"/>
    </xf>
    <xf numFmtId="0" fontId="0" fillId="2" borderId="1" xfId="0" applyFill="1" applyBorder="1" applyAlignment="1">
      <alignment horizontal="center" vertical="center"/>
    </xf>
    <xf numFmtId="0" fontId="0" fillId="2" borderId="1" xfId="0" applyFill="1" applyBorder="1" applyAlignment="1">
      <alignment horizontal="left" vertical="center"/>
    </xf>
    <xf numFmtId="0" fontId="0" fillId="0" borderId="4" xfId="0" applyBorder="1">
      <alignment vertical="center"/>
    </xf>
    <xf numFmtId="0" fontId="0" fillId="0" borderId="6" xfId="0" applyBorder="1" applyAlignment="1">
      <alignment horizontal="left" vertical="center"/>
    </xf>
    <xf numFmtId="0" fontId="0" fillId="0" borderId="3" xfId="0" applyBorder="1" applyAlignment="1">
      <alignment vertical="center" wrapText="1"/>
    </xf>
    <xf numFmtId="0" fontId="5" fillId="0" borderId="6" xfId="0" applyFont="1" applyBorder="1" applyAlignment="1">
      <alignment vertical="center" wrapText="1"/>
    </xf>
    <xf numFmtId="0" fontId="0" fillId="0" borderId="3" xfId="0" applyBorder="1">
      <alignment vertical="center"/>
    </xf>
    <xf numFmtId="0" fontId="0" fillId="0" borderId="5" xfId="0" applyBorder="1">
      <alignment vertical="center"/>
    </xf>
    <xf numFmtId="0" fontId="0" fillId="0" borderId="6" xfId="0" applyBorder="1">
      <alignment vertical="center"/>
    </xf>
    <xf numFmtId="0" fontId="0" fillId="0" borderId="5" xfId="0" applyBorder="1" applyAlignment="1">
      <alignment vertical="center" wrapText="1"/>
    </xf>
    <xf numFmtId="0" fontId="0" fillId="0" borderId="3" xfId="0" applyBorder="1" applyAlignment="1">
      <alignment horizontal="left" vertical="center" wrapText="1"/>
    </xf>
    <xf numFmtId="0" fontId="5" fillId="0" borderId="3" xfId="0" applyFont="1" applyBorder="1" applyAlignment="1">
      <alignment horizontal="left" vertical="center" wrapText="1"/>
    </xf>
    <xf numFmtId="0" fontId="5" fillId="0" borderId="3" xfId="0" applyFont="1" applyBorder="1" applyAlignment="1">
      <alignment horizontal="left" vertical="center"/>
    </xf>
    <xf numFmtId="0" fontId="0" fillId="0" borderId="5" xfId="0" applyBorder="1" applyAlignment="1">
      <alignment horizontal="left" vertical="center" wrapText="1"/>
    </xf>
    <xf numFmtId="0" fontId="5" fillId="0" borderId="3" xfId="0" applyFont="1" applyBorder="1" applyAlignment="1">
      <alignment vertical="center" wrapText="1"/>
    </xf>
    <xf numFmtId="0" fontId="5" fillId="0" borderId="5" xfId="0" applyFont="1" applyBorder="1" applyAlignment="1">
      <alignment vertical="center" wrapText="1"/>
    </xf>
    <xf numFmtId="0" fontId="0" fillId="0" borderId="6" xfId="0" applyBorder="1" applyAlignment="1">
      <alignment horizontal="left" vertical="center" wrapText="1"/>
    </xf>
    <xf numFmtId="0" fontId="0" fillId="0" borderId="11" xfId="0" applyBorder="1">
      <alignment vertical="center"/>
    </xf>
    <xf numFmtId="0" fontId="5" fillId="0" borderId="10" xfId="0" applyFont="1" applyBorder="1" applyAlignment="1">
      <alignment vertical="center" wrapText="1"/>
    </xf>
    <xf numFmtId="0" fontId="0" fillId="0" borderId="2" xfId="0" applyBorder="1">
      <alignment vertical="center"/>
    </xf>
    <xf numFmtId="0" fontId="0" fillId="0" borderId="10" xfId="0" applyBorder="1" applyAlignment="1">
      <alignment vertical="center" wrapText="1"/>
    </xf>
    <xf numFmtId="0" fontId="0" fillId="0" borderId="9" xfId="0" applyBorder="1" applyAlignment="1">
      <alignment vertical="center" wrapText="1"/>
    </xf>
    <xf numFmtId="0" fontId="0" fillId="2" borderId="13" xfId="0" applyFill="1" applyBorder="1" applyAlignment="1">
      <alignment horizontal="center" vertical="center"/>
    </xf>
    <xf numFmtId="0" fontId="5" fillId="0" borderId="7" xfId="0" applyFont="1" applyBorder="1" applyAlignment="1">
      <alignment vertical="center" wrapText="1"/>
    </xf>
    <xf numFmtId="0" fontId="5" fillId="0" borderId="14" xfId="0" applyFont="1" applyBorder="1" applyAlignment="1">
      <alignment vertical="center" wrapText="1"/>
    </xf>
    <xf numFmtId="0" fontId="5" fillId="0" borderId="16" xfId="0" applyFont="1" applyBorder="1" applyAlignment="1">
      <alignment vertical="center" wrapText="1"/>
    </xf>
    <xf numFmtId="0" fontId="5" fillId="0" borderId="10" xfId="0" applyFont="1" applyBorder="1">
      <alignment vertical="center"/>
    </xf>
    <xf numFmtId="49" fontId="0" fillId="0" borderId="6" xfId="0" applyNumberFormat="1" applyBorder="1" applyAlignment="1">
      <alignment horizontal="center" vertical="center"/>
    </xf>
    <xf numFmtId="49" fontId="0" fillId="0" borderId="3" xfId="0" applyNumberFormat="1" applyBorder="1" applyAlignment="1">
      <alignment horizontal="center" vertical="center"/>
    </xf>
    <xf numFmtId="49" fontId="0" fillId="0" borderId="5" xfId="0" applyNumberFormat="1" applyBorder="1" applyAlignment="1">
      <alignment horizontal="center" vertical="center"/>
    </xf>
    <xf numFmtId="0" fontId="0" fillId="3" borderId="12" xfId="0" applyFill="1" applyBorder="1">
      <alignment vertical="center"/>
    </xf>
    <xf numFmtId="49" fontId="0" fillId="0" borderId="0" xfId="0" applyNumberFormat="1">
      <alignment vertical="center"/>
    </xf>
    <xf numFmtId="49" fontId="0" fillId="0" borderId="1" xfId="0" applyNumberFormat="1" applyBorder="1" applyAlignment="1">
      <alignment horizontal="center" vertical="center"/>
    </xf>
    <xf numFmtId="0" fontId="0" fillId="0" borderId="10" xfId="0" applyBorder="1">
      <alignment vertical="center"/>
    </xf>
    <xf numFmtId="0" fontId="0" fillId="0" borderId="18" xfId="0" applyBorder="1">
      <alignment vertical="center"/>
    </xf>
    <xf numFmtId="0" fontId="7" fillId="0" borderId="1" xfId="0" applyFont="1" applyBorder="1">
      <alignment vertical="center"/>
    </xf>
    <xf numFmtId="0" fontId="7" fillId="0" borderId="1" xfId="0" applyFont="1" applyBorder="1" applyAlignment="1">
      <alignment vertical="center" wrapText="1"/>
    </xf>
    <xf numFmtId="0" fontId="11" fillId="0" borderId="0" xfId="0" applyFont="1">
      <alignment vertical="center"/>
    </xf>
    <xf numFmtId="49" fontId="0" fillId="0" borderId="0" xfId="0" applyNumberFormat="1" applyAlignment="1">
      <alignment horizontal="right" vertical="center"/>
    </xf>
    <xf numFmtId="0" fontId="14" fillId="0" borderId="0" xfId="0" applyFont="1">
      <alignment vertical="center"/>
    </xf>
    <xf numFmtId="57" fontId="0" fillId="0" borderId="0" xfId="0" applyNumberFormat="1">
      <alignment vertical="center"/>
    </xf>
    <xf numFmtId="0" fontId="15" fillId="0" borderId="0" xfId="0" applyFont="1">
      <alignment vertical="center"/>
    </xf>
    <xf numFmtId="0" fontId="0" fillId="0" borderId="19" xfId="0" applyBorder="1" applyAlignment="1">
      <alignment horizontal="center" vertical="center"/>
    </xf>
    <xf numFmtId="0" fontId="0" fillId="0" borderId="12" xfId="0" applyBorder="1">
      <alignment vertical="center"/>
    </xf>
    <xf numFmtId="0" fontId="0" fillId="0" borderId="20" xfId="0" applyBorder="1">
      <alignment vertical="center"/>
    </xf>
    <xf numFmtId="0" fontId="0" fillId="4" borderId="21" xfId="0" applyFill="1" applyBorder="1" applyAlignment="1" applyProtection="1">
      <alignment horizontal="left" vertical="center" wrapText="1"/>
      <protection locked="0"/>
    </xf>
    <xf numFmtId="0" fontId="10" fillId="0" borderId="12" xfId="0" applyFont="1" applyBorder="1">
      <alignment vertical="center"/>
    </xf>
    <xf numFmtId="0" fontId="10" fillId="0" borderId="2" xfId="0" applyFont="1" applyBorder="1">
      <alignment vertical="center"/>
    </xf>
    <xf numFmtId="0" fontId="10" fillId="0" borderId="18" xfId="0" applyFont="1" applyBorder="1">
      <alignment vertical="center"/>
    </xf>
    <xf numFmtId="0" fontId="10" fillId="0" borderId="4" xfId="0" applyFont="1" applyBorder="1">
      <alignment vertical="center"/>
    </xf>
    <xf numFmtId="0" fontId="10" fillId="0" borderId="22" xfId="0" applyFont="1" applyBorder="1">
      <alignment vertical="center"/>
    </xf>
    <xf numFmtId="0" fontId="10" fillId="0" borderId="12" xfId="0" applyFont="1" applyBorder="1" applyAlignment="1">
      <alignment vertical="center" wrapText="1"/>
    </xf>
    <xf numFmtId="0" fontId="0" fillId="0" borderId="12" xfId="0" applyBorder="1" applyAlignment="1">
      <alignment vertical="center" wrapText="1"/>
    </xf>
    <xf numFmtId="0" fontId="10" fillId="0" borderId="0" xfId="0" applyFont="1">
      <alignment vertical="center"/>
    </xf>
    <xf numFmtId="0" fontId="8" fillId="0" borderId="0" xfId="0" applyFont="1">
      <alignment vertical="center"/>
    </xf>
    <xf numFmtId="0" fontId="0" fillId="0" borderId="21" xfId="0" applyBorder="1" applyAlignment="1" applyProtection="1">
      <alignment horizontal="left" vertical="center" wrapText="1"/>
      <protection locked="0"/>
    </xf>
    <xf numFmtId="0" fontId="0" fillId="4" borderId="23" xfId="0" applyFill="1" applyBorder="1" applyAlignment="1" applyProtection="1">
      <alignment horizontal="left" vertical="center" wrapText="1"/>
      <protection locked="0"/>
    </xf>
    <xf numFmtId="0" fontId="0" fillId="0" borderId="13" xfId="0" applyBorder="1">
      <alignment vertical="center"/>
    </xf>
    <xf numFmtId="0" fontId="0" fillId="4" borderId="1" xfId="0" applyFill="1" applyBorder="1" applyAlignment="1" applyProtection="1">
      <alignment horizontal="left" vertical="center" wrapText="1"/>
      <protection locked="0"/>
    </xf>
    <xf numFmtId="0" fontId="16" fillId="0" borderId="0" xfId="0" applyFont="1">
      <alignment vertical="center"/>
    </xf>
    <xf numFmtId="0" fontId="16" fillId="0" borderId="0" xfId="0" applyFont="1" applyAlignment="1">
      <alignment horizontal="left" vertical="center"/>
    </xf>
    <xf numFmtId="0" fontId="17" fillId="0" borderId="1" xfId="0" applyFont="1" applyBorder="1" applyAlignment="1">
      <alignment horizontal="center" vertical="center"/>
    </xf>
    <xf numFmtId="0" fontId="0" fillId="0" borderId="20" xfId="0" applyBorder="1" applyAlignment="1">
      <alignment horizontal="center" vertical="center"/>
    </xf>
    <xf numFmtId="0" fontId="17" fillId="0" borderId="0" xfId="0" applyFont="1">
      <alignment vertical="center"/>
    </xf>
    <xf numFmtId="0" fontId="17" fillId="0" borderId="25" xfId="0" applyFont="1" applyBorder="1" applyAlignment="1">
      <alignment horizontal="center" vertical="center" wrapText="1"/>
    </xf>
    <xf numFmtId="0" fontId="0" fillId="0" borderId="26" xfId="0" applyBorder="1" applyAlignment="1">
      <alignment horizontal="center" vertical="center"/>
    </xf>
    <xf numFmtId="0" fontId="0" fillId="0" borderId="21" xfId="0" applyBorder="1" applyAlignment="1">
      <alignment horizontal="center" vertical="center"/>
    </xf>
    <xf numFmtId="0" fontId="0" fillId="0" borderId="27" xfId="0" applyBorder="1">
      <alignment vertical="center"/>
    </xf>
    <xf numFmtId="0" fontId="0" fillId="0" borderId="28" xfId="0" applyBorder="1">
      <alignment vertical="center"/>
    </xf>
    <xf numFmtId="0" fontId="0" fillId="4" borderId="29" xfId="0" applyFill="1" applyBorder="1" applyAlignment="1">
      <alignment horizontal="center" vertical="center" wrapText="1"/>
    </xf>
    <xf numFmtId="0" fontId="0" fillId="0" borderId="30" xfId="0" applyBorder="1">
      <alignment vertical="center"/>
    </xf>
    <xf numFmtId="0" fontId="19" fillId="4" borderId="31" xfId="0" applyFont="1" applyFill="1" applyBorder="1" applyAlignment="1">
      <alignment vertical="center" wrapText="1"/>
    </xf>
    <xf numFmtId="0" fontId="0" fillId="0" borderId="32" xfId="0" applyBorder="1">
      <alignment vertical="center"/>
    </xf>
    <xf numFmtId="0" fontId="0" fillId="0" borderId="33" xfId="0" applyBorder="1">
      <alignment vertical="center"/>
    </xf>
    <xf numFmtId="0" fontId="0" fillId="0" borderId="34" xfId="0" applyBorder="1">
      <alignment vertical="center"/>
    </xf>
    <xf numFmtId="0" fontId="0" fillId="4" borderId="35" xfId="0" applyFill="1" applyBorder="1" applyAlignment="1">
      <alignment vertical="center" wrapText="1"/>
    </xf>
    <xf numFmtId="0" fontId="15" fillId="0" borderId="28" xfId="0" applyFont="1" applyBorder="1" applyAlignment="1">
      <alignment horizontal="center" vertical="center"/>
    </xf>
    <xf numFmtId="0" fontId="0" fillId="4" borderId="36" xfId="0" applyFill="1" applyBorder="1" applyAlignment="1">
      <alignment horizontal="center" vertical="center" wrapText="1"/>
    </xf>
    <xf numFmtId="0" fontId="0" fillId="4" borderId="31" xfId="0" applyFill="1" applyBorder="1" applyAlignment="1">
      <alignment vertical="center" wrapText="1"/>
    </xf>
    <xf numFmtId="6" fontId="0" fillId="4" borderId="37" xfId="0" applyNumberFormat="1" applyFill="1" applyBorder="1" applyAlignment="1">
      <alignment vertical="center" wrapText="1"/>
    </xf>
    <xf numFmtId="0" fontId="15" fillId="5" borderId="1" xfId="0" applyFont="1" applyFill="1" applyBorder="1" applyAlignment="1">
      <alignment horizontal="center" vertical="center"/>
    </xf>
    <xf numFmtId="0" fontId="15" fillId="5" borderId="2" xfId="0" applyFont="1" applyFill="1" applyBorder="1" applyAlignment="1">
      <alignment horizontal="center" vertical="center"/>
    </xf>
    <xf numFmtId="0" fontId="0" fillId="0" borderId="38" xfId="0" applyBorder="1">
      <alignment vertical="center"/>
    </xf>
    <xf numFmtId="0" fontId="15" fillId="5" borderId="33" xfId="0" applyFont="1" applyFill="1" applyBorder="1" applyAlignment="1">
      <alignment horizontal="center" vertical="center"/>
    </xf>
    <xf numFmtId="0" fontId="0" fillId="4" borderId="37" xfId="0" applyFill="1" applyBorder="1" applyAlignment="1">
      <alignment vertical="center" wrapText="1"/>
    </xf>
    <xf numFmtId="49" fontId="0" fillId="4" borderId="31" xfId="0" applyNumberFormat="1" applyFill="1" applyBorder="1" applyAlignment="1">
      <alignment vertical="center" wrapText="1"/>
    </xf>
    <xf numFmtId="0" fontId="0" fillId="0" borderId="41" xfId="0" applyBorder="1">
      <alignment vertical="center"/>
    </xf>
    <xf numFmtId="0" fontId="0" fillId="0" borderId="42" xfId="0" applyBorder="1" applyAlignment="1">
      <alignment horizontal="left" vertical="center"/>
    </xf>
    <xf numFmtId="0" fontId="20" fillId="0" borderId="12" xfId="0" applyFont="1" applyBorder="1" applyAlignment="1">
      <alignment horizontal="left" vertical="center"/>
    </xf>
    <xf numFmtId="0" fontId="0" fillId="4" borderId="31" xfId="0" applyFill="1" applyBorder="1" applyAlignment="1">
      <alignment horizontal="left" vertical="center" wrapText="1"/>
    </xf>
    <xf numFmtId="0" fontId="0" fillId="0" borderId="18" xfId="0" applyBorder="1" applyAlignment="1">
      <alignment horizontal="left" vertical="center"/>
    </xf>
    <xf numFmtId="0" fontId="21" fillId="0" borderId="12" xfId="0" applyFont="1" applyBorder="1" applyAlignment="1">
      <alignment horizontal="left" vertical="center"/>
    </xf>
    <xf numFmtId="0" fontId="0" fillId="0" borderId="43" xfId="0" applyBorder="1">
      <alignment vertical="center"/>
    </xf>
    <xf numFmtId="0" fontId="0" fillId="0" borderId="44" xfId="0" applyBorder="1">
      <alignment vertical="center"/>
    </xf>
    <xf numFmtId="0" fontId="1" fillId="6" borderId="25" xfId="0" applyFont="1" applyFill="1" applyBorder="1" applyAlignment="1">
      <alignment horizontal="center" vertical="center"/>
    </xf>
    <xf numFmtId="0" fontId="0" fillId="0" borderId="44" xfId="0" applyBorder="1" applyAlignment="1">
      <alignment vertical="center" wrapText="1"/>
    </xf>
    <xf numFmtId="0" fontId="0" fillId="4" borderId="21" xfId="0" applyFill="1" applyBorder="1" applyAlignment="1">
      <alignment horizontal="center" vertical="center"/>
    </xf>
    <xf numFmtId="49" fontId="23" fillId="0" borderId="0" xfId="0" applyNumberFormat="1" applyFont="1">
      <alignment vertical="center"/>
    </xf>
    <xf numFmtId="49" fontId="0" fillId="0" borderId="0" xfId="0" applyNumberFormat="1" applyAlignment="1">
      <alignment horizontal="right" vertical="center" wrapText="1"/>
    </xf>
    <xf numFmtId="49" fontId="26" fillId="0" borderId="0" xfId="0" applyNumberFormat="1" applyFont="1">
      <alignment vertical="center"/>
    </xf>
    <xf numFmtId="49" fontId="0" fillId="0" borderId="0" xfId="0" applyNumberFormat="1" applyAlignment="1">
      <alignment vertical="center" wrapText="1"/>
    </xf>
    <xf numFmtId="49" fontId="27" fillId="0" borderId="0" xfId="0" applyNumberFormat="1" applyFont="1">
      <alignment vertical="center"/>
    </xf>
    <xf numFmtId="49" fontId="9" fillId="0" borderId="1" xfId="0" applyNumberFormat="1" applyFont="1" applyBorder="1" applyAlignment="1">
      <alignment horizontal="center" vertical="center" wrapText="1"/>
    </xf>
    <xf numFmtId="49" fontId="25" fillId="0" borderId="1" xfId="0" applyNumberFormat="1" applyFont="1" applyBorder="1" applyAlignment="1">
      <alignment horizontal="center" vertical="center" wrapText="1"/>
    </xf>
    <xf numFmtId="49" fontId="17" fillId="0" borderId="1" xfId="0" applyNumberFormat="1" applyFont="1" applyBorder="1" applyAlignment="1">
      <alignment horizontal="center" vertical="center" wrapText="1"/>
    </xf>
    <xf numFmtId="0" fontId="27" fillId="7" borderId="38" xfId="0" applyFont="1" applyFill="1" applyBorder="1" applyAlignment="1">
      <alignment horizontal="center" vertical="center"/>
    </xf>
    <xf numFmtId="49" fontId="1" fillId="0" borderId="12" xfId="0" applyNumberFormat="1" applyFont="1" applyBorder="1">
      <alignment vertical="center"/>
    </xf>
    <xf numFmtId="49" fontId="0" fillId="0" borderId="13" xfId="0" applyNumberFormat="1" applyBorder="1">
      <alignment vertical="center"/>
    </xf>
    <xf numFmtId="49" fontId="17" fillId="0" borderId="19" xfId="0" applyNumberFormat="1" applyFont="1" applyBorder="1" applyAlignment="1">
      <alignment vertical="center" wrapText="1"/>
    </xf>
    <xf numFmtId="49" fontId="0" fillId="0" borderId="53" xfId="0" applyNumberFormat="1" applyBorder="1">
      <alignment vertical="center"/>
    </xf>
    <xf numFmtId="49" fontId="0" fillId="0" borderId="1" xfId="0" applyNumberFormat="1" applyBorder="1">
      <alignment vertical="center"/>
    </xf>
    <xf numFmtId="49" fontId="27" fillId="6" borderId="1" xfId="0" applyNumberFormat="1" applyFont="1" applyFill="1" applyBorder="1" applyAlignment="1" applyProtection="1">
      <alignment horizontal="center" vertical="center"/>
      <protection locked="0"/>
    </xf>
    <xf numFmtId="49" fontId="17" fillId="0" borderId="1" xfId="0" applyNumberFormat="1" applyFont="1" applyBorder="1" applyAlignment="1">
      <alignment horizontal="left" vertical="center" wrapText="1" indent="1"/>
    </xf>
    <xf numFmtId="49" fontId="0" fillId="0" borderId="18" xfId="0" applyNumberFormat="1" applyBorder="1" applyAlignment="1">
      <alignment horizontal="left" vertical="center"/>
    </xf>
    <xf numFmtId="49" fontId="27" fillId="6" borderId="54" xfId="0" applyNumberFormat="1" applyFont="1" applyFill="1" applyBorder="1" applyAlignment="1" applyProtection="1">
      <alignment horizontal="center" vertical="center"/>
      <protection locked="0"/>
    </xf>
    <xf numFmtId="49" fontId="17" fillId="0" borderId="55" xfId="0" applyNumberFormat="1" applyFont="1" applyBorder="1" applyAlignment="1">
      <alignment horizontal="left" vertical="center" wrapText="1" indent="1"/>
    </xf>
    <xf numFmtId="49" fontId="0" fillId="0" borderId="22" xfId="0" applyNumberFormat="1" applyBorder="1">
      <alignment vertical="center"/>
    </xf>
    <xf numFmtId="49" fontId="0" fillId="0" borderId="4" xfId="0" applyNumberFormat="1" applyBorder="1">
      <alignment vertical="center"/>
    </xf>
    <xf numFmtId="49" fontId="27" fillId="6" borderId="56" xfId="0" applyNumberFormat="1" applyFont="1" applyFill="1" applyBorder="1" applyAlignment="1" applyProtection="1">
      <alignment horizontal="center" vertical="center"/>
      <protection locked="0"/>
    </xf>
    <xf numFmtId="0" fontId="10" fillId="0" borderId="57" xfId="0" applyFont="1" applyBorder="1" applyAlignment="1">
      <alignment horizontal="left" vertical="center" wrapText="1" indent="1"/>
    </xf>
    <xf numFmtId="49" fontId="1" fillId="0" borderId="38" xfId="0" applyNumberFormat="1" applyFont="1" applyBorder="1">
      <alignment vertical="center"/>
    </xf>
    <xf numFmtId="49" fontId="32" fillId="0" borderId="19" xfId="0" applyNumberFormat="1" applyFont="1" applyBorder="1">
      <alignment vertical="center"/>
    </xf>
    <xf numFmtId="49" fontId="0" fillId="0" borderId="12" xfId="0" applyNumberFormat="1" applyBorder="1">
      <alignment vertical="center"/>
    </xf>
    <xf numFmtId="49" fontId="0" fillId="0" borderId="12" xfId="0" applyNumberFormat="1" applyBorder="1" applyAlignment="1">
      <alignment vertical="center" wrapText="1"/>
    </xf>
    <xf numFmtId="49" fontId="33" fillId="0" borderId="19" xfId="0" applyNumberFormat="1" applyFont="1" applyBorder="1">
      <alignment vertical="center"/>
    </xf>
    <xf numFmtId="49" fontId="0" fillId="0" borderId="1" xfId="0" applyNumberFormat="1" applyBorder="1" applyAlignment="1">
      <alignment vertical="center" wrapText="1"/>
    </xf>
    <xf numFmtId="49" fontId="17" fillId="0" borderId="13" xfId="0" applyNumberFormat="1" applyFont="1" applyBorder="1" applyAlignment="1">
      <alignment horizontal="left" vertical="center" wrapText="1" indent="1"/>
    </xf>
    <xf numFmtId="49" fontId="0" fillId="0" borderId="4" xfId="0" applyNumberFormat="1" applyBorder="1" applyAlignment="1">
      <alignment horizontal="left" vertical="center" wrapText="1"/>
    </xf>
    <xf numFmtId="49" fontId="27" fillId="6" borderId="22" xfId="0" applyNumberFormat="1" applyFont="1" applyFill="1" applyBorder="1" applyAlignment="1" applyProtection="1">
      <alignment horizontal="center" vertical="center"/>
      <protection locked="0"/>
    </xf>
    <xf numFmtId="0" fontId="27" fillId="7" borderId="2" xfId="0" applyFont="1" applyFill="1" applyBorder="1" applyAlignment="1">
      <alignment horizontal="center" vertical="center"/>
    </xf>
    <xf numFmtId="49" fontId="32" fillId="0" borderId="20" xfId="0" applyNumberFormat="1" applyFont="1" applyBorder="1">
      <alignment vertical="center"/>
    </xf>
    <xf numFmtId="49" fontId="17" fillId="0" borderId="1" xfId="0" applyNumberFormat="1" applyFont="1" applyBorder="1" applyAlignment="1">
      <alignment vertical="center" wrapText="1"/>
    </xf>
    <xf numFmtId="49" fontId="0" fillId="0" borderId="18" xfId="0" applyNumberFormat="1" applyBorder="1">
      <alignment vertical="center"/>
    </xf>
    <xf numFmtId="49" fontId="0" fillId="0" borderId="38" xfId="0" applyNumberFormat="1" applyBorder="1" applyAlignment="1">
      <alignment vertical="center" wrapText="1"/>
    </xf>
    <xf numFmtId="49" fontId="17" fillId="0" borderId="13" xfId="0" applyNumberFormat="1" applyFont="1" applyBorder="1" applyAlignment="1">
      <alignment horizontal="left" vertical="center" wrapText="1"/>
    </xf>
    <xf numFmtId="49" fontId="0" fillId="0" borderId="12" xfId="0" applyNumberFormat="1" applyBorder="1" applyAlignment="1">
      <alignment horizontal="center" vertical="center" wrapText="1"/>
    </xf>
    <xf numFmtId="49" fontId="32" fillId="0" borderId="19" xfId="0" applyNumberFormat="1" applyFont="1" applyBorder="1" applyAlignment="1">
      <alignment vertical="center" wrapText="1"/>
    </xf>
    <xf numFmtId="49" fontId="17" fillId="0" borderId="58" xfId="0" applyNumberFormat="1" applyFont="1" applyBorder="1" applyAlignment="1">
      <alignment vertical="center" wrapText="1"/>
    </xf>
    <xf numFmtId="49" fontId="0" fillId="0" borderId="1" xfId="0" applyNumberFormat="1" applyBorder="1" applyAlignment="1">
      <alignment horizontal="center" vertical="center" wrapText="1"/>
    </xf>
    <xf numFmtId="49" fontId="0" fillId="0" borderId="2" xfId="0" applyNumberFormat="1" applyBorder="1" applyAlignment="1">
      <alignment horizontal="center" vertical="center" wrapText="1"/>
    </xf>
    <xf numFmtId="49" fontId="17" fillId="0" borderId="58" xfId="0" applyNumberFormat="1" applyFont="1" applyBorder="1" applyAlignment="1">
      <alignment horizontal="left" vertical="center" wrapText="1" indent="1"/>
    </xf>
    <xf numFmtId="0" fontId="22" fillId="0" borderId="0" xfId="2" applyAlignment="1" applyProtection="1">
      <alignment vertical="top"/>
      <protection locked="0"/>
    </xf>
    <xf numFmtId="49" fontId="32" fillId="0" borderId="13" xfId="0" applyNumberFormat="1" applyFont="1" applyBorder="1">
      <alignment vertical="center"/>
    </xf>
    <xf numFmtId="49" fontId="0" fillId="0" borderId="59" xfId="0" applyNumberFormat="1" applyBorder="1" applyAlignment="1">
      <alignment horizontal="center" vertical="center" wrapText="1"/>
    </xf>
    <xf numFmtId="49" fontId="1" fillId="0" borderId="20" xfId="0" applyNumberFormat="1" applyFont="1" applyBorder="1">
      <alignment vertical="center"/>
    </xf>
    <xf numFmtId="49" fontId="17" fillId="0" borderId="13" xfId="0" applyNumberFormat="1" applyFont="1" applyBorder="1" applyAlignment="1">
      <alignment vertical="center" wrapText="1"/>
    </xf>
    <xf numFmtId="49" fontId="0" fillId="0" borderId="13" xfId="0" applyNumberFormat="1" applyBorder="1" applyAlignment="1">
      <alignment vertical="center" wrapText="1"/>
    </xf>
    <xf numFmtId="49" fontId="19" fillId="6" borderId="1" xfId="0" applyNumberFormat="1" applyFont="1" applyFill="1" applyBorder="1" applyAlignment="1" applyProtection="1">
      <alignment vertical="center" wrapText="1"/>
      <protection locked="0"/>
    </xf>
    <xf numFmtId="49" fontId="0" fillId="0" borderId="19" xfId="0" applyNumberFormat="1" applyBorder="1">
      <alignment vertical="center"/>
    </xf>
    <xf numFmtId="49" fontId="0" fillId="0" borderId="59" xfId="0" applyNumberFormat="1" applyBorder="1">
      <alignment vertical="center"/>
    </xf>
    <xf numFmtId="0" fontId="22" fillId="0" borderId="0" xfId="2" applyFill="1" applyProtection="1">
      <alignment vertical="center"/>
      <protection locked="0"/>
    </xf>
    <xf numFmtId="49" fontId="4" fillId="0" borderId="1" xfId="0" applyNumberFormat="1" applyFont="1" applyBorder="1" applyAlignment="1">
      <alignment horizontal="left" vertical="center" wrapText="1" indent="1"/>
    </xf>
    <xf numFmtId="49" fontId="7" fillId="0" borderId="0" xfId="0" applyNumberFormat="1" applyFont="1">
      <alignment vertical="center"/>
    </xf>
    <xf numFmtId="49" fontId="1" fillId="0" borderId="60" xfId="0" applyNumberFormat="1" applyFont="1" applyBorder="1">
      <alignment vertical="center"/>
    </xf>
    <xf numFmtId="49" fontId="32" fillId="0" borderId="60" xfId="0" applyNumberFormat="1" applyFont="1" applyBorder="1">
      <alignment vertical="center"/>
    </xf>
    <xf numFmtId="49" fontId="5" fillId="0" borderId="1" xfId="0" applyNumberFormat="1" applyFont="1" applyBorder="1" applyAlignment="1">
      <alignment vertical="center" wrapText="1"/>
    </xf>
    <xf numFmtId="49" fontId="0" fillId="0" borderId="53" xfId="0" applyNumberFormat="1" applyBorder="1" applyAlignment="1">
      <alignment horizontal="left" vertical="center" wrapText="1"/>
    </xf>
    <xf numFmtId="49" fontId="0" fillId="0" borderId="13" xfId="0" applyNumberFormat="1" applyBorder="1" applyAlignment="1">
      <alignment horizontal="center" vertical="center" wrapText="1"/>
    </xf>
    <xf numFmtId="49" fontId="0" fillId="0" borderId="53" xfId="0" applyNumberFormat="1" applyBorder="1" applyAlignment="1">
      <alignment horizontal="right" vertical="center" wrapText="1"/>
    </xf>
    <xf numFmtId="49" fontId="4" fillId="0" borderId="61" xfId="0" applyNumberFormat="1" applyFont="1" applyBorder="1" applyAlignment="1">
      <alignment horizontal="left" vertical="center" wrapText="1" indent="1"/>
    </xf>
    <xf numFmtId="49" fontId="27" fillId="6" borderId="4" xfId="0" applyNumberFormat="1" applyFont="1" applyFill="1" applyBorder="1" applyAlignment="1" applyProtection="1">
      <alignment horizontal="right" vertical="center"/>
      <protection locked="0"/>
    </xf>
    <xf numFmtId="49" fontId="4" fillId="0" borderId="4" xfId="0" applyNumberFormat="1" applyFont="1" applyBorder="1" applyAlignment="1">
      <alignment horizontal="left" vertical="center" wrapText="1" indent="1"/>
    </xf>
    <xf numFmtId="49" fontId="0" fillId="0" borderId="4" xfId="0" applyNumberFormat="1" applyBorder="1" applyAlignment="1">
      <alignment horizontal="right" vertical="center" wrapText="1"/>
    </xf>
    <xf numFmtId="49" fontId="27" fillId="6" borderId="1" xfId="0" applyNumberFormat="1" applyFont="1" applyFill="1" applyBorder="1" applyAlignment="1" applyProtection="1">
      <alignment horizontal="right" vertical="center"/>
      <protection locked="0"/>
    </xf>
    <xf numFmtId="49" fontId="32" fillId="0" borderId="60" xfId="0" applyNumberFormat="1" applyFont="1" applyBorder="1" applyAlignment="1">
      <alignment vertical="center" wrapText="1"/>
    </xf>
    <xf numFmtId="49" fontId="33" fillId="0" borderId="1" xfId="0" applyNumberFormat="1" applyFont="1" applyBorder="1" applyAlignment="1">
      <alignment horizontal="left" vertical="center" wrapText="1" indent="1"/>
    </xf>
    <xf numFmtId="49" fontId="22" fillId="0" borderId="1" xfId="2" applyNumberFormat="1" applyBorder="1" applyAlignment="1">
      <alignment horizontal="left" vertical="center" wrapText="1" indent="1"/>
    </xf>
    <xf numFmtId="49" fontId="0" fillId="0" borderId="1" xfId="0" applyNumberFormat="1" applyBorder="1" applyAlignment="1">
      <alignment horizontal="left" vertical="center" wrapText="1"/>
    </xf>
    <xf numFmtId="49" fontId="27" fillId="6" borderId="4" xfId="0" applyNumberFormat="1" applyFont="1" applyFill="1" applyBorder="1" applyAlignment="1" applyProtection="1">
      <alignment horizontal="center" vertical="center"/>
      <protection locked="0"/>
    </xf>
    <xf numFmtId="49" fontId="0" fillId="0" borderId="60" xfId="0" applyNumberFormat="1" applyBorder="1">
      <alignment vertical="center"/>
    </xf>
    <xf numFmtId="49" fontId="0" fillId="0" borderId="2" xfId="0" applyNumberFormat="1" applyBorder="1" applyAlignment="1">
      <alignment horizontal="center" vertical="center"/>
    </xf>
    <xf numFmtId="49" fontId="32" fillId="0" borderId="13" xfId="0" applyNumberFormat="1" applyFont="1" applyBorder="1" applyAlignment="1">
      <alignment vertical="center" wrapText="1"/>
    </xf>
    <xf numFmtId="49" fontId="32" fillId="0" borderId="18" xfId="0" applyNumberFormat="1" applyFont="1" applyBorder="1" applyAlignment="1">
      <alignment horizontal="left" vertical="center" wrapText="1" indent="1"/>
    </xf>
    <xf numFmtId="49" fontId="0" fillId="0" borderId="1" xfId="0" applyNumberFormat="1" applyBorder="1" applyAlignment="1">
      <alignment horizontal="left" vertical="center" wrapText="1" indent="1"/>
    </xf>
    <xf numFmtId="49" fontId="32" fillId="0" borderId="19" xfId="0" applyNumberFormat="1" applyFont="1" applyBorder="1" applyAlignment="1">
      <alignment horizontal="left" vertical="center" wrapText="1"/>
    </xf>
    <xf numFmtId="49" fontId="17" fillId="0" borderId="1" xfId="0" applyNumberFormat="1" applyFont="1" applyBorder="1" applyAlignment="1">
      <alignment horizontal="left" vertical="top" wrapText="1"/>
    </xf>
    <xf numFmtId="49" fontId="9" fillId="0" borderId="18" xfId="0" applyNumberFormat="1" applyFont="1" applyBorder="1" applyAlignment="1">
      <alignment horizontal="center" vertical="center" wrapText="1"/>
    </xf>
    <xf numFmtId="49" fontId="21" fillId="0" borderId="12" xfId="0" applyNumberFormat="1" applyFont="1" applyBorder="1" applyAlignment="1">
      <alignment vertical="center" wrapText="1"/>
    </xf>
    <xf numFmtId="49" fontId="9" fillId="0" borderId="4" xfId="0" applyNumberFormat="1" applyFont="1" applyBorder="1" applyAlignment="1">
      <alignment horizontal="center" vertical="center" wrapText="1"/>
    </xf>
    <xf numFmtId="0" fontId="27" fillId="7" borderId="1" xfId="0" applyFont="1" applyFill="1" applyBorder="1" applyAlignment="1">
      <alignment horizontal="center" vertical="center"/>
    </xf>
    <xf numFmtId="49" fontId="1" fillId="0" borderId="1" xfId="0" applyNumberFormat="1" applyFont="1" applyBorder="1">
      <alignment vertical="center"/>
    </xf>
    <xf numFmtId="176" fontId="15" fillId="5" borderId="33" xfId="0" applyNumberFormat="1" applyFont="1" applyFill="1"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center" vertical="center"/>
    </xf>
    <xf numFmtId="0" fontId="0" fillId="8" borderId="1" xfId="0" applyFill="1" applyBorder="1" applyAlignment="1">
      <alignment horizontal="center" vertical="center"/>
    </xf>
    <xf numFmtId="0" fontId="4" fillId="0" borderId="1" xfId="0" applyFont="1" applyBorder="1" applyAlignment="1">
      <alignment vertical="center" wrapText="1"/>
    </xf>
    <xf numFmtId="0" fontId="8" fillId="8" borderId="1" xfId="0" applyFont="1" applyFill="1" applyBorder="1" applyAlignment="1">
      <alignment vertical="center" wrapText="1"/>
    </xf>
    <xf numFmtId="0" fontId="18" fillId="0" borderId="1" xfId="0" applyFont="1" applyBorder="1">
      <alignment vertical="center"/>
    </xf>
    <xf numFmtId="0" fontId="18" fillId="0" borderId="1" xfId="0" applyFont="1" applyBorder="1" applyAlignment="1">
      <alignment vertical="center" wrapText="1"/>
    </xf>
    <xf numFmtId="0" fontId="37" fillId="0" borderId="1" xfId="0" quotePrefix="1" applyFont="1" applyBorder="1" applyAlignment="1" applyProtection="1">
      <alignment horizontal="center" vertical="center"/>
      <protection locked="0"/>
    </xf>
    <xf numFmtId="0" fontId="22" fillId="0" borderId="0" xfId="2" applyProtection="1">
      <alignment vertical="center"/>
      <protection locked="0"/>
    </xf>
    <xf numFmtId="49" fontId="14" fillId="0" borderId="4" xfId="0" applyNumberFormat="1" applyFont="1" applyBorder="1" applyAlignment="1">
      <alignment horizontal="left" vertical="center" wrapText="1" indent="1"/>
    </xf>
    <xf numFmtId="0" fontId="0" fillId="0" borderId="14" xfId="0" applyBorder="1">
      <alignment vertical="center"/>
    </xf>
    <xf numFmtId="0" fontId="0" fillId="3" borderId="12" xfId="0" applyFill="1" applyBorder="1" applyAlignment="1">
      <alignment vertical="center" wrapText="1"/>
    </xf>
    <xf numFmtId="0" fontId="7" fillId="0" borderId="0" xfId="0" applyFont="1">
      <alignment vertical="center"/>
    </xf>
    <xf numFmtId="0" fontId="5" fillId="0" borderId="15" xfId="0" applyFont="1" applyBorder="1" applyAlignment="1">
      <alignment vertical="center" wrapText="1"/>
    </xf>
    <xf numFmtId="0" fontId="7" fillId="0" borderId="4" xfId="0" applyFont="1" applyBorder="1">
      <alignment vertical="center"/>
    </xf>
    <xf numFmtId="0" fontId="38" fillId="0" borderId="11" xfId="0" applyFont="1" applyBorder="1" applyAlignment="1">
      <alignment horizontal="left" vertical="center"/>
      <extLst>
        <ext xmlns:xfpb="http://schemas.microsoft.com/office/spreadsheetml/2022/featurepropertybag" uri="{C7286773-470A-42A8-94C5-96B5CB345126}">
          <xfpb:xfComplement i="0"/>
        </ext>
      </extLst>
    </xf>
    <xf numFmtId="0" fontId="0" fillId="0" borderId="11" xfId="0" applyBorder="1" applyAlignment="1">
      <alignment horizontal="left" vertical="center"/>
      <extLst>
        <ext xmlns:xfpb="http://schemas.microsoft.com/office/spreadsheetml/2022/featurepropertybag" uri="{C7286773-470A-42A8-94C5-96B5CB345126}">
          <xfpb:xfComplement i="0"/>
        </ext>
      </extLst>
    </xf>
    <xf numFmtId="49" fontId="5" fillId="0" borderId="4" xfId="0" applyNumberFormat="1" applyFont="1" applyBorder="1" applyAlignment="1">
      <alignment horizontal="center" vertical="center"/>
    </xf>
    <xf numFmtId="0" fontId="5" fillId="0" borderId="4" xfId="0" applyFont="1" applyBorder="1" applyAlignment="1">
      <alignment vertical="center" wrapText="1"/>
    </xf>
    <xf numFmtId="49" fontId="5" fillId="0" borderId="53" xfId="0" applyNumberFormat="1" applyFont="1" applyBorder="1" applyAlignment="1">
      <alignment horizontal="left" vertical="center"/>
    </xf>
    <xf numFmtId="49" fontId="5" fillId="0" borderId="1" xfId="0" applyNumberFormat="1" applyFont="1" applyBorder="1" applyAlignment="1">
      <alignment horizontal="center" vertical="center"/>
    </xf>
    <xf numFmtId="0" fontId="5" fillId="0" borderId="1" xfId="0" applyFont="1" applyBorder="1" applyAlignment="1">
      <alignment vertical="center" wrapText="1"/>
    </xf>
    <xf numFmtId="0" fontId="19" fillId="0" borderId="1" xfId="0" applyFont="1" applyBorder="1">
      <alignment vertical="center"/>
    </xf>
    <xf numFmtId="49" fontId="19" fillId="0" borderId="1" xfId="0" applyNumberFormat="1" applyFont="1" applyBorder="1" applyAlignment="1">
      <alignment horizontal="center" vertical="center"/>
    </xf>
    <xf numFmtId="177" fontId="0" fillId="0" borderId="0" xfId="0" applyNumberFormat="1" applyAlignment="1">
      <alignment horizontal="right" vertical="center"/>
    </xf>
    <xf numFmtId="0" fontId="0" fillId="0" borderId="0" xfId="0" applyProtection="1">
      <alignment vertical="center"/>
      <protection locked="0"/>
    </xf>
    <xf numFmtId="0" fontId="0" fillId="2" borderId="1" xfId="0" applyFill="1" applyBorder="1" applyAlignment="1" applyProtection="1">
      <alignment horizontal="left" vertical="center"/>
      <protection locked="0"/>
    </xf>
    <xf numFmtId="0" fontId="0" fillId="2" borderId="1" xfId="0" applyFill="1" applyBorder="1" applyAlignment="1" applyProtection="1">
      <alignment horizontal="center" vertical="center"/>
      <protection locked="0"/>
    </xf>
    <xf numFmtId="0" fontId="0" fillId="0" borderId="6" xfId="0" applyBorder="1" applyProtection="1">
      <alignment vertical="center"/>
      <protection locked="0"/>
    </xf>
    <xf numFmtId="0" fontId="0" fillId="0" borderId="1" xfId="0" applyBorder="1" applyProtection="1">
      <alignment vertical="center"/>
      <protection locked="0"/>
    </xf>
    <xf numFmtId="0" fontId="0" fillId="0" borderId="3" xfId="0" applyBorder="1" applyProtection="1">
      <alignment vertical="center"/>
      <protection locked="0"/>
    </xf>
    <xf numFmtId="0" fontId="0" fillId="0" borderId="5" xfId="0" applyBorder="1" applyProtection="1">
      <alignment vertical="center"/>
      <protection locked="0"/>
    </xf>
    <xf numFmtId="14" fontId="0" fillId="4" borderId="21" xfId="0" applyNumberFormat="1" applyFill="1" applyBorder="1" applyAlignment="1" applyProtection="1">
      <alignment horizontal="left" vertical="center" wrapText="1"/>
      <protection locked="0"/>
    </xf>
    <xf numFmtId="49" fontId="40" fillId="9" borderId="1" xfId="0" applyNumberFormat="1" applyFont="1" applyFill="1" applyBorder="1" applyAlignment="1" applyProtection="1">
      <alignment horizontal="center" vertical="center"/>
      <protection locked="0"/>
    </xf>
    <xf numFmtId="49" fontId="40" fillId="9" borderId="4" xfId="0" applyNumberFormat="1" applyFont="1" applyFill="1" applyBorder="1" applyAlignment="1" applyProtection="1">
      <alignment horizontal="center" vertical="center"/>
      <protection locked="0"/>
    </xf>
    <xf numFmtId="0" fontId="0" fillId="0" borderId="2" xfId="0" applyBorder="1" applyAlignment="1">
      <alignment vertical="center" wrapText="1"/>
    </xf>
    <xf numFmtId="0" fontId="0" fillId="0" borderId="18" xfId="0" applyBorder="1">
      <alignment vertical="center"/>
    </xf>
    <xf numFmtId="0" fontId="0" fillId="0" borderId="4" xfId="0" applyBorder="1">
      <alignment vertical="center"/>
    </xf>
    <xf numFmtId="49" fontId="0" fillId="6" borderId="2" xfId="0" applyNumberFormat="1" applyFill="1" applyBorder="1" applyProtection="1">
      <alignment vertical="center"/>
      <protection locked="0"/>
    </xf>
    <xf numFmtId="0" fontId="0" fillId="6" borderId="18" xfId="0" applyFill="1" applyBorder="1" applyProtection="1">
      <alignment vertical="center"/>
      <protection locked="0"/>
    </xf>
    <xf numFmtId="0" fontId="0" fillId="6" borderId="4" xfId="0" applyFill="1" applyBorder="1" applyProtection="1">
      <alignment vertical="center"/>
      <protection locked="0"/>
    </xf>
    <xf numFmtId="49" fontId="27" fillId="6" borderId="2" xfId="0" applyNumberFormat="1" applyFont="1" applyFill="1" applyBorder="1" applyAlignment="1" applyProtection="1">
      <alignment horizontal="right" vertical="center"/>
      <protection locked="0"/>
    </xf>
    <xf numFmtId="49" fontId="27" fillId="6" borderId="4" xfId="0" applyNumberFormat="1" applyFont="1" applyFill="1" applyBorder="1" applyAlignment="1" applyProtection="1">
      <alignment horizontal="right" vertical="center"/>
      <protection locked="0"/>
    </xf>
    <xf numFmtId="0" fontId="0" fillId="0" borderId="18" xfId="0" applyBorder="1" applyAlignment="1">
      <alignment vertical="center" wrapText="1"/>
    </xf>
    <xf numFmtId="49" fontId="0" fillId="6" borderId="1" xfId="0" applyNumberFormat="1" applyFill="1" applyBorder="1" applyProtection="1">
      <alignment vertical="center"/>
      <protection locked="0"/>
    </xf>
    <xf numFmtId="0" fontId="0" fillId="6" borderId="1" xfId="0" applyFill="1" applyBorder="1" applyProtection="1">
      <alignment vertical="center"/>
      <protection locked="0"/>
    </xf>
    <xf numFmtId="49" fontId="0" fillId="0" borderId="53" xfId="0" applyNumberFormat="1" applyBorder="1" applyAlignment="1">
      <alignment horizontal="center" vertical="center"/>
    </xf>
    <xf numFmtId="49" fontId="0" fillId="0" borderId="62" xfId="0" applyNumberFormat="1" applyBorder="1" applyAlignment="1">
      <alignment horizontal="center" vertical="center"/>
    </xf>
    <xf numFmtId="49" fontId="0" fillId="0" borderId="22" xfId="0" applyNumberFormat="1" applyBorder="1" applyAlignment="1">
      <alignment horizontal="center" vertical="center"/>
    </xf>
    <xf numFmtId="49" fontId="0" fillId="0" borderId="59" xfId="0" applyNumberFormat="1" applyBorder="1" applyAlignment="1">
      <alignment horizontal="center" vertical="center"/>
    </xf>
    <xf numFmtId="0" fontId="0" fillId="0" borderId="4" xfId="0" applyBorder="1" applyAlignment="1">
      <alignment vertical="center" wrapText="1"/>
    </xf>
    <xf numFmtId="176" fontId="0" fillId="0" borderId="2" xfId="0" applyNumberFormat="1" applyBorder="1" applyAlignment="1">
      <alignment vertical="center" wrapText="1"/>
    </xf>
    <xf numFmtId="176" fontId="0" fillId="0" borderId="18" xfId="0" applyNumberFormat="1" applyBorder="1" applyAlignment="1">
      <alignment vertical="center" wrapText="1"/>
    </xf>
    <xf numFmtId="49" fontId="34" fillId="0" borderId="12" xfId="0" applyNumberFormat="1" applyFont="1" applyBorder="1" applyAlignment="1">
      <alignment vertical="center" wrapText="1"/>
    </xf>
    <xf numFmtId="0" fontId="17" fillId="0" borderId="13" xfId="0" applyFont="1" applyBorder="1" applyAlignment="1">
      <alignment vertical="center" wrapText="1"/>
    </xf>
    <xf numFmtId="6" fontId="0" fillId="0" borderId="2" xfId="1" applyFont="1" applyBorder="1" applyAlignment="1" applyProtection="1">
      <alignment vertical="center" wrapText="1"/>
    </xf>
    <xf numFmtId="49" fontId="27" fillId="6" borderId="2" xfId="0" applyNumberFormat="1" applyFont="1" applyFill="1" applyBorder="1" applyAlignment="1" applyProtection="1">
      <alignment horizontal="center" vertical="center"/>
      <protection locked="0"/>
    </xf>
    <xf numFmtId="0" fontId="0" fillId="0" borderId="4" xfId="0" applyBorder="1" applyProtection="1">
      <alignment vertical="center"/>
      <protection locked="0"/>
    </xf>
    <xf numFmtId="49" fontId="9" fillId="0" borderId="0" xfId="0" applyNumberFormat="1" applyFont="1" applyAlignment="1">
      <alignment vertical="center" wrapText="1"/>
    </xf>
    <xf numFmtId="49" fontId="25" fillId="0" borderId="0" xfId="0" applyNumberFormat="1" applyFont="1" applyAlignment="1">
      <alignment vertical="center" wrapText="1"/>
    </xf>
    <xf numFmtId="0" fontId="0" fillId="0" borderId="1" xfId="0" applyBorder="1" applyAlignment="1">
      <alignment vertical="center" wrapText="1"/>
    </xf>
    <xf numFmtId="0" fontId="0" fillId="8" borderId="12" xfId="0" applyFill="1" applyBorder="1" applyAlignment="1">
      <alignment horizontal="center" vertical="center"/>
    </xf>
    <xf numFmtId="0" fontId="0" fillId="8" borderId="13" xfId="0" applyFill="1" applyBorder="1" applyAlignment="1">
      <alignment horizontal="center" vertical="center"/>
    </xf>
    <xf numFmtId="0" fontId="12" fillId="0" borderId="0" xfId="0" applyFont="1" applyAlignment="1">
      <alignment horizontal="left" vertical="center"/>
    </xf>
    <xf numFmtId="0" fontId="0" fillId="0" borderId="2" xfId="0" applyBorder="1" applyAlignment="1">
      <alignment horizontal="left" vertical="center"/>
    </xf>
    <xf numFmtId="0" fontId="0" fillId="0" borderId="4" xfId="0" applyBorder="1" applyAlignment="1">
      <alignment horizontal="left" vertical="center"/>
    </xf>
    <xf numFmtId="0" fontId="0" fillId="0" borderId="2" xfId="0" applyBorder="1">
      <alignment vertical="center"/>
    </xf>
    <xf numFmtId="49" fontId="0" fillId="0" borderId="16" xfId="0" applyNumberFormat="1" applyBorder="1">
      <alignment vertical="center"/>
    </xf>
    <xf numFmtId="49" fontId="0" fillId="0" borderId="8" xfId="0" applyNumberFormat="1" applyBorder="1">
      <alignment vertical="center"/>
    </xf>
    <xf numFmtId="49" fontId="0" fillId="0" borderId="10" xfId="0" applyNumberFormat="1" applyBorder="1">
      <alignment vertical="center"/>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5" fillId="0" borderId="16" xfId="0" applyFont="1" applyBorder="1" applyAlignment="1">
      <alignment horizontal="left" vertical="center" wrapText="1"/>
    </xf>
    <xf numFmtId="0" fontId="5" fillId="0" borderId="17" xfId="0" applyFont="1" applyBorder="1" applyAlignment="1">
      <alignment horizontal="left" vertical="center" wrapText="1"/>
    </xf>
    <xf numFmtId="0" fontId="5" fillId="0" borderId="14" xfId="0" applyFont="1" applyBorder="1" applyAlignment="1">
      <alignment vertical="center" wrapText="1"/>
    </xf>
    <xf numFmtId="0" fontId="5" fillId="0" borderId="15" xfId="0" applyFont="1" applyBorder="1" applyAlignment="1">
      <alignment vertical="center" wrapText="1"/>
    </xf>
    <xf numFmtId="0" fontId="5" fillId="0" borderId="16" xfId="0" applyFont="1" applyBorder="1" applyAlignment="1">
      <alignment vertical="center" wrapText="1"/>
    </xf>
    <xf numFmtId="0" fontId="5" fillId="0" borderId="17" xfId="0" applyFont="1" applyBorder="1" applyAlignment="1">
      <alignment vertical="center" wrapText="1"/>
    </xf>
    <xf numFmtId="0" fontId="1" fillId="0" borderId="0" xfId="0" applyFont="1" applyAlignment="1">
      <alignment horizontal="center" vertical="center"/>
    </xf>
    <xf numFmtId="0" fontId="0" fillId="3" borderId="2" xfId="0" applyFill="1" applyBorder="1">
      <alignment vertical="center"/>
    </xf>
    <xf numFmtId="0" fontId="0" fillId="3" borderId="4" xfId="0" applyFill="1" applyBorder="1">
      <alignment vertical="center"/>
    </xf>
    <xf numFmtId="0" fontId="0" fillId="3" borderId="1" xfId="0" applyFill="1" applyBorder="1">
      <alignment vertical="center"/>
    </xf>
    <xf numFmtId="49" fontId="0" fillId="0" borderId="11" xfId="0" applyNumberFormat="1" applyBorder="1" applyAlignment="1">
      <alignment horizontal="center" vertical="center"/>
    </xf>
    <xf numFmtId="49" fontId="0" fillId="0" borderId="6" xfId="0" applyNumberFormat="1" applyBorder="1" applyAlignment="1">
      <alignment horizontal="center" vertical="center"/>
    </xf>
    <xf numFmtId="0" fontId="0" fillId="0" borderId="11" xfId="0" applyBorder="1" applyAlignment="1">
      <alignment horizontal="left" vertical="center"/>
    </xf>
    <xf numFmtId="0" fontId="0" fillId="0" borderId="6" xfId="0" applyBorder="1" applyAlignment="1">
      <alignment horizontal="left" vertical="center"/>
    </xf>
    <xf numFmtId="0" fontId="0" fillId="0" borderId="11" xfId="0" applyBorder="1">
      <alignment vertical="center"/>
    </xf>
    <xf numFmtId="0" fontId="0" fillId="0" borderId="6" xfId="0" applyBorder="1">
      <alignment vertical="center"/>
    </xf>
    <xf numFmtId="0" fontId="0" fillId="4" borderId="45" xfId="0" applyFill="1" applyBorder="1" applyAlignment="1" applyProtection="1">
      <alignment horizontal="left" vertical="center" wrapText="1"/>
      <protection locked="0"/>
    </xf>
    <xf numFmtId="0" fontId="0" fillId="4" borderId="46" xfId="0" applyFill="1" applyBorder="1" applyAlignment="1" applyProtection="1">
      <alignment horizontal="left" vertical="center" wrapText="1"/>
      <protection locked="0"/>
    </xf>
    <xf numFmtId="0" fontId="0" fillId="4" borderId="47" xfId="0" applyFill="1" applyBorder="1" applyAlignment="1" applyProtection="1">
      <alignment horizontal="left" vertical="center" wrapText="1"/>
      <protection locked="0"/>
    </xf>
    <xf numFmtId="0" fontId="0" fillId="4" borderId="48" xfId="0" applyFill="1" applyBorder="1" applyAlignment="1" applyProtection="1">
      <alignment horizontal="left" vertical="center" wrapText="1"/>
      <protection locked="0"/>
    </xf>
    <xf numFmtId="0" fontId="0" fillId="4" borderId="20" xfId="0" applyFill="1" applyBorder="1" applyAlignment="1" applyProtection="1">
      <alignment horizontal="left" vertical="center" wrapText="1"/>
      <protection locked="0"/>
    </xf>
    <xf numFmtId="0" fontId="0" fillId="4" borderId="49" xfId="0" applyFill="1" applyBorder="1" applyAlignment="1" applyProtection="1">
      <alignment horizontal="left" vertical="center" wrapText="1"/>
      <protection locked="0"/>
    </xf>
    <xf numFmtId="0" fontId="0" fillId="4" borderId="50" xfId="0" applyFill="1" applyBorder="1" applyAlignment="1" applyProtection="1">
      <alignment horizontal="left" vertical="center" wrapText="1"/>
      <protection locked="0"/>
    </xf>
    <xf numFmtId="0" fontId="0" fillId="4" borderId="51" xfId="0" applyFill="1" applyBorder="1" applyAlignment="1" applyProtection="1">
      <alignment horizontal="left" vertical="center" wrapText="1"/>
      <protection locked="0"/>
    </xf>
    <xf numFmtId="0" fontId="0" fillId="4" borderId="52" xfId="0" applyFill="1" applyBorder="1" applyAlignment="1" applyProtection="1">
      <alignment horizontal="left" vertical="center" wrapText="1"/>
      <protection locked="0"/>
    </xf>
    <xf numFmtId="0" fontId="10" fillId="0" borderId="12" xfId="0" applyFont="1" applyBorder="1" applyAlignment="1">
      <alignment vertical="center" wrapText="1"/>
    </xf>
    <xf numFmtId="0" fontId="0" fillId="0" borderId="24" xfId="0" applyBorder="1" applyAlignment="1">
      <alignment horizontal="center" vertical="center"/>
    </xf>
    <xf numFmtId="0" fontId="0" fillId="0" borderId="25" xfId="0" applyBorder="1" applyAlignment="1">
      <alignment horizontal="center" vertical="center"/>
    </xf>
    <xf numFmtId="0" fontId="15" fillId="5" borderId="2" xfId="0" applyFont="1" applyFill="1" applyBorder="1" applyAlignment="1">
      <alignment horizontal="center" vertical="center"/>
    </xf>
    <xf numFmtId="0" fontId="15" fillId="5" borderId="4" xfId="0" applyFont="1" applyFill="1" applyBorder="1" applyAlignment="1">
      <alignment horizontal="center" vertical="center"/>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0" xfId="0" applyAlignment="1">
      <alignment horizontal="left" vertical="center"/>
    </xf>
    <xf numFmtId="0" fontId="0" fillId="0" borderId="12" xfId="0" applyBorder="1">
      <alignment vertical="center"/>
    </xf>
    <xf numFmtId="0" fontId="0" fillId="0" borderId="20" xfId="0" applyBorder="1">
      <alignment vertical="center"/>
    </xf>
    <xf numFmtId="0" fontId="0" fillId="0" borderId="12" xfId="0" applyBorder="1" applyAlignment="1">
      <alignment horizontal="center" vertical="center"/>
    </xf>
    <xf numFmtId="0" fontId="0" fillId="0" borderId="13" xfId="0" applyBorder="1" applyAlignment="1">
      <alignment horizontal="center" vertical="center"/>
    </xf>
    <xf numFmtId="0" fontId="10" fillId="0" borderId="12" xfId="0" applyFont="1" applyBorder="1">
      <alignment vertical="center"/>
    </xf>
    <xf numFmtId="0" fontId="10" fillId="0" borderId="20" xfId="0" applyFont="1" applyBorder="1">
      <alignment vertical="center"/>
    </xf>
  </cellXfs>
  <cellStyles count="3">
    <cellStyle name="ハイパーリンク" xfId="2" builtinId="8"/>
    <cellStyle name="通貨" xfId="1" builtinId="7"/>
    <cellStyle name="標準" xfId="0" builtinId="0"/>
  </cellStyles>
  <dxfs count="15">
    <dxf>
      <font>
        <b/>
        <i val="0"/>
        <color rgb="FFFF0000"/>
      </font>
      <fill>
        <patternFill>
          <bgColor theme="7" tint="0.79998168889431442"/>
        </patternFill>
      </fill>
    </dxf>
    <dxf>
      <font>
        <b/>
        <i val="0"/>
        <color rgb="FFFF0000"/>
      </font>
      <fill>
        <patternFill>
          <bgColor theme="7" tint="0.7999816888943144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patternType="none">
          <bgColor auto="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rgb="FFFF0000"/>
      </font>
      <fill>
        <patternFill>
          <bgColor theme="7" tint="0.79998168889431442"/>
        </patternFill>
      </fill>
    </dxf>
    <dxf>
      <font>
        <b/>
        <i val="0"/>
        <color rgb="FFFF0000"/>
      </font>
      <fill>
        <patternFill>
          <bgColor theme="7" tint="0.79998168889431442"/>
        </patternFill>
      </fill>
    </dxf>
    <dxf>
      <font>
        <b/>
        <i val="0"/>
        <color rgb="FFFF0000"/>
      </font>
      <fill>
        <patternFill>
          <bgColor theme="7" tint="0.79998168889431442"/>
        </patternFill>
      </fill>
    </dxf>
    <dxf>
      <font>
        <b/>
        <i val="0"/>
        <color rgb="FFFF0000"/>
      </font>
      <fill>
        <patternFill>
          <bgColor theme="7"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1/relationships/FeaturePropertyBag" Target="featurePropertyBag/featurePropertyBag.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trlProps/ctrlProp1.xml><?xml version="1.0" encoding="utf-8"?>
<formControlPr xmlns="http://schemas.microsoft.com/office/spreadsheetml/2009/9/main" objectType="CheckBox" fmlaLink="J21" lockText="1" noThreeD="1"/>
</file>

<file path=xl/ctrlProps/ctrlProp2.xml><?xml version="1.0" encoding="utf-8"?>
<formControlPr xmlns="http://schemas.microsoft.com/office/spreadsheetml/2009/9/main" objectType="CheckBox" fmlaLink="K21" lockText="1" noThreeD="1"/>
</file>

<file path=xl/ctrlProps/ctrlProp3.xml><?xml version="1.0" encoding="utf-8"?>
<formControlPr xmlns="http://schemas.microsoft.com/office/spreadsheetml/2009/9/main" objectType="CheckBox" fmlaLink="L21" lockText="1" noThreeD="1"/>
</file>

<file path=xl/ctrlProps/ctrlProp4.xml><?xml version="1.0" encoding="utf-8"?>
<formControlPr xmlns="http://schemas.microsoft.com/office/spreadsheetml/2009/9/main" objectType="CheckBox" fmlaLink="J22" lockText="1" noThreeD="1"/>
</file>

<file path=xl/ctrlProps/ctrlProp5.xml><?xml version="1.0" encoding="utf-8"?>
<formControlPr xmlns="http://schemas.microsoft.com/office/spreadsheetml/2009/9/main" objectType="CheckBox" fmlaLink="K22" lockText="1" noThreeD="1"/>
</file>

<file path=xl/ctrlProps/ctrlProp6.xml><?xml version="1.0" encoding="utf-8"?>
<formControlPr xmlns="http://schemas.microsoft.com/office/spreadsheetml/2009/9/main" objectType="CheckBox" fmlaLink="L22" lockText="1" noThreeD="1"/>
</file>

<file path=xl/ctrlProps/ctrlProp7.xml><?xml version="1.0" encoding="utf-8"?>
<formControlPr xmlns="http://schemas.microsoft.com/office/spreadsheetml/2009/9/main" objectType="CheckBox" fmlaLink="J23" lockText="1" noThreeD="1"/>
</file>

<file path=xl/ctrlProps/ctrlProp8.xml><?xml version="1.0" encoding="utf-8"?>
<formControlPr xmlns="http://schemas.microsoft.com/office/spreadsheetml/2009/9/main" objectType="CheckBox" fmlaLink="K23" lockText="1" noThreeD="1"/>
</file>

<file path=xl/ctrlProps/ctrlProp9.xml><?xml version="1.0" encoding="utf-8"?>
<formControlPr xmlns="http://schemas.microsoft.com/office/spreadsheetml/2009/9/main" objectType="CheckBox" fmlaLink="L23" lockText="1" noThreeD="1"/>
</file>

<file path=xl/ctrlProps/ctrlProp10.xml><?xml version="1.0" encoding="utf-8"?>
<formControlPr xmlns="http://schemas.microsoft.com/office/spreadsheetml/2009/9/main" objectType="CheckBox" fmlaLink="J25" lockText="1" noThreeD="1"/>
</file>

<file path=xl/ctrlProps/ctrlProp11.xml><?xml version="1.0" encoding="utf-8"?>
<formControlPr xmlns="http://schemas.microsoft.com/office/spreadsheetml/2009/9/main" objectType="CheckBox" fmlaLink="K25" lockText="1" noThreeD="1"/>
</file>

<file path=xl/ctrlProps/ctrlProp12.xml><?xml version="1.0" encoding="utf-8"?>
<formControlPr xmlns="http://schemas.microsoft.com/office/spreadsheetml/2009/9/main" objectType="CheckBox" fmlaLink="L25" lockText="1" noThreeD="1"/>
</file>

<file path=xl/ctrlProps/ctrlProp13.xml><?xml version="1.0" encoding="utf-8"?>
<formControlPr xmlns="http://schemas.microsoft.com/office/spreadsheetml/2009/9/main" objectType="CheckBox" fmlaLink="J27" lockText="1" noThreeD="1"/>
</file>

<file path=xl/ctrlProps/ctrlProp14.xml><?xml version="1.0" encoding="utf-8"?>
<formControlPr xmlns="http://schemas.microsoft.com/office/spreadsheetml/2009/9/main" objectType="CheckBox" fmlaLink="K27" lockText="1" noThreeD="1"/>
</file>

<file path=xl/ctrlProps/ctrlProp15.xml><?xml version="1.0" encoding="utf-8"?>
<formControlPr xmlns="http://schemas.microsoft.com/office/spreadsheetml/2009/9/main" objectType="CheckBox" fmlaLink="L27" lockText="1" noThreeD="1"/>
</file>

<file path=xl/ctrlProps/ctrlProp16.xml><?xml version="1.0" encoding="utf-8"?>
<formControlPr xmlns="http://schemas.microsoft.com/office/spreadsheetml/2009/9/main" objectType="CheckBox" fmlaLink="J28" lockText="1" noThreeD="1"/>
</file>

<file path=xl/ctrlProps/ctrlProp17.xml><?xml version="1.0" encoding="utf-8"?>
<formControlPr xmlns="http://schemas.microsoft.com/office/spreadsheetml/2009/9/main" objectType="CheckBox" fmlaLink="K28" lockText="1" noThreeD="1"/>
</file>

<file path=xl/ctrlProps/ctrlProp18.xml><?xml version="1.0" encoding="utf-8"?>
<formControlPr xmlns="http://schemas.microsoft.com/office/spreadsheetml/2009/9/main" objectType="CheckBox" fmlaLink="L28" lockText="1" noThreeD="1"/>
</file>

<file path=xl/ctrlProps/ctrlProp19.xml><?xml version="1.0" encoding="utf-8"?>
<formControlPr xmlns="http://schemas.microsoft.com/office/spreadsheetml/2009/9/main" objectType="CheckBox" fmlaLink="J29" lockText="1" noThreeD="1"/>
</file>

<file path=xl/ctrlProps/ctrlProp20.xml><?xml version="1.0" encoding="utf-8"?>
<formControlPr xmlns="http://schemas.microsoft.com/office/spreadsheetml/2009/9/main" objectType="CheckBox" fmlaLink="K29" lockText="1" noThreeD="1"/>
</file>

<file path=xl/ctrlProps/ctrlProp21.xml><?xml version="1.0" encoding="utf-8"?>
<formControlPr xmlns="http://schemas.microsoft.com/office/spreadsheetml/2009/9/main" objectType="CheckBox" fmlaLink="L29" lockText="1" noThreeD="1"/>
</file>

<file path=xl/ctrlProps/ctrlProp22.xml><?xml version="1.0" encoding="utf-8"?>
<formControlPr xmlns="http://schemas.microsoft.com/office/spreadsheetml/2009/9/main" objectType="CheckBox" fmlaLink="J30" lockText="1" noThreeD="1"/>
</file>

<file path=xl/ctrlProps/ctrlProp23.xml><?xml version="1.0" encoding="utf-8"?>
<formControlPr xmlns="http://schemas.microsoft.com/office/spreadsheetml/2009/9/main" objectType="CheckBox" fmlaLink="K30" lockText="1" noThreeD="1"/>
</file>

<file path=xl/ctrlProps/ctrlProp24.xml><?xml version="1.0" encoding="utf-8"?>
<formControlPr xmlns="http://schemas.microsoft.com/office/spreadsheetml/2009/9/main" objectType="CheckBox" fmlaLink="L30" lockText="1" noThreeD="1"/>
</file>

<file path=xl/ctrlProps/ctrlProp25.xml><?xml version="1.0" encoding="utf-8"?>
<formControlPr xmlns="http://schemas.microsoft.com/office/spreadsheetml/2009/9/main" objectType="CheckBox" fmlaLink="J31" lockText="1" noThreeD="1"/>
</file>

<file path=xl/ctrlProps/ctrlProp26.xml><?xml version="1.0" encoding="utf-8"?>
<formControlPr xmlns="http://schemas.microsoft.com/office/spreadsheetml/2009/9/main" objectType="CheckBox" fmlaLink="K31" lockText="1" noThreeD="1"/>
</file>

<file path=xl/ctrlProps/ctrlProp27.xml><?xml version="1.0" encoding="utf-8"?>
<formControlPr xmlns="http://schemas.microsoft.com/office/spreadsheetml/2009/9/main" objectType="CheckBox" fmlaLink="L31" lockText="1" noThreeD="1"/>
</file>

<file path=xl/ctrlProps/ctrlProp28.xml><?xml version="1.0" encoding="utf-8"?>
<formControlPr xmlns="http://schemas.microsoft.com/office/spreadsheetml/2009/9/main" objectType="CheckBox" fmlaLink="J32" lockText="1" noThreeD="1"/>
</file>

<file path=xl/ctrlProps/ctrlProp29.xml><?xml version="1.0" encoding="utf-8"?>
<formControlPr xmlns="http://schemas.microsoft.com/office/spreadsheetml/2009/9/main" objectType="CheckBox" fmlaLink="K32" lockText="1" noThreeD="1"/>
</file>

<file path=xl/ctrlProps/ctrlProp30.xml><?xml version="1.0" encoding="utf-8"?>
<formControlPr xmlns="http://schemas.microsoft.com/office/spreadsheetml/2009/9/main" objectType="CheckBox" fmlaLink="L32" lockText="1" noThreeD="1"/>
</file>

<file path=xl/ctrlProps/ctrlProp31.xml><?xml version="1.0" encoding="utf-8"?>
<formControlPr xmlns="http://schemas.microsoft.com/office/spreadsheetml/2009/9/main" objectType="CheckBox" fmlaLink="J33" lockText="1" noThreeD="1"/>
</file>

<file path=xl/ctrlProps/ctrlProp32.xml><?xml version="1.0" encoding="utf-8"?>
<formControlPr xmlns="http://schemas.microsoft.com/office/spreadsheetml/2009/9/main" objectType="CheckBox" fmlaLink="K33" lockText="1" noThreeD="1"/>
</file>

<file path=xl/ctrlProps/ctrlProp33.xml><?xml version="1.0" encoding="utf-8"?>
<formControlPr xmlns="http://schemas.microsoft.com/office/spreadsheetml/2009/9/main" objectType="CheckBox" fmlaLink="L33" lockText="1" noThreeD="1"/>
</file>

<file path=xl/ctrlProps/ctrlProp34.xml><?xml version="1.0" encoding="utf-8"?>
<formControlPr xmlns="http://schemas.microsoft.com/office/spreadsheetml/2009/9/main" objectType="CheckBox" fmlaLink="J34" lockText="1" noThreeD="1"/>
</file>

<file path=xl/ctrlProps/ctrlProp35.xml><?xml version="1.0" encoding="utf-8"?>
<formControlPr xmlns="http://schemas.microsoft.com/office/spreadsheetml/2009/9/main" objectType="CheckBox" fmlaLink="L34" lockText="1" noThreeD="1"/>
</file>

<file path=xl/ctrlProps/ctrlProp36.xml><?xml version="1.0" encoding="utf-8"?>
<formControlPr xmlns="http://schemas.microsoft.com/office/spreadsheetml/2009/9/main" objectType="CheckBox" fmlaLink="K34" lockText="1" noThreeD="1"/>
</file>

<file path=xl/ctrlProps/ctrlProp37.xml><?xml version="1.0" encoding="utf-8"?>
<formControlPr xmlns="http://schemas.microsoft.com/office/spreadsheetml/2009/9/main" objectType="CheckBox" fmlaLink="J35" lockText="1" noThreeD="1"/>
</file>

<file path=xl/ctrlProps/ctrlProp38.xml><?xml version="1.0" encoding="utf-8"?>
<formControlPr xmlns="http://schemas.microsoft.com/office/spreadsheetml/2009/9/main" objectType="CheckBox" fmlaLink="K35" lockText="1" noThreeD="1"/>
</file>

<file path=xl/ctrlProps/ctrlProp39.xml><?xml version="1.0" encoding="utf-8"?>
<formControlPr xmlns="http://schemas.microsoft.com/office/spreadsheetml/2009/9/main" objectType="CheckBox" fmlaLink="L35" lockText="1" noThreeD="1"/>
</file>

<file path=xl/ctrlProps/ctrlProp40.xml><?xml version="1.0" encoding="utf-8"?>
<formControlPr xmlns="http://schemas.microsoft.com/office/spreadsheetml/2009/9/main" objectType="CheckBox" fmlaLink="J36" lockText="1" noThreeD="1"/>
</file>

<file path=xl/ctrlProps/ctrlProp41.xml><?xml version="1.0" encoding="utf-8"?>
<formControlPr xmlns="http://schemas.microsoft.com/office/spreadsheetml/2009/9/main" objectType="CheckBox" fmlaLink="K36" lockText="1" noThreeD="1"/>
</file>

<file path=xl/ctrlProps/ctrlProp42.xml><?xml version="1.0" encoding="utf-8"?>
<formControlPr xmlns="http://schemas.microsoft.com/office/spreadsheetml/2009/9/main" objectType="CheckBox" fmlaLink="L36" lockText="1" noThreeD="1"/>
</file>

<file path=xl/ctrlProps/ctrlProp43.xml><?xml version="1.0" encoding="utf-8"?>
<formControlPr xmlns="http://schemas.microsoft.com/office/spreadsheetml/2009/9/main" objectType="CheckBox" fmlaLink="J37" lockText="1" noThreeD="1"/>
</file>

<file path=xl/ctrlProps/ctrlProp44.xml><?xml version="1.0" encoding="utf-8"?>
<formControlPr xmlns="http://schemas.microsoft.com/office/spreadsheetml/2009/9/main" objectType="CheckBox" fmlaLink="K37" lockText="1" noThreeD="1"/>
</file>

<file path=xl/ctrlProps/ctrlProp45.xml><?xml version="1.0" encoding="utf-8"?>
<formControlPr xmlns="http://schemas.microsoft.com/office/spreadsheetml/2009/9/main" objectType="CheckBox" fmlaLink="L37" lockText="1" noThreeD="1"/>
</file>

<file path=xl/ctrlProps/ctrlProp46.xml><?xml version="1.0" encoding="utf-8"?>
<formControlPr xmlns="http://schemas.microsoft.com/office/spreadsheetml/2009/9/main" objectType="CheckBox" fmlaLink="J38" lockText="1" noThreeD="1"/>
</file>

<file path=xl/ctrlProps/ctrlProp47.xml><?xml version="1.0" encoding="utf-8"?>
<formControlPr xmlns="http://schemas.microsoft.com/office/spreadsheetml/2009/9/main" objectType="CheckBox" fmlaLink="K38" lockText="1" noThreeD="1"/>
</file>

<file path=xl/ctrlProps/ctrlProp48.xml><?xml version="1.0" encoding="utf-8"?>
<formControlPr xmlns="http://schemas.microsoft.com/office/spreadsheetml/2009/9/main" objectType="CheckBox" fmlaLink="L38" lockText="1" noThreeD="1"/>
</file>

<file path=xl/ctrlProps/ctrlProp49.xml><?xml version="1.0" encoding="utf-8"?>
<formControlPr xmlns="http://schemas.microsoft.com/office/spreadsheetml/2009/9/main" objectType="CheckBox" fmlaLink="K39" lockText="1" noThreeD="1"/>
</file>

<file path=xl/ctrlProps/ctrlProp50.xml><?xml version="1.0" encoding="utf-8"?>
<formControlPr xmlns="http://schemas.microsoft.com/office/spreadsheetml/2009/9/main" objectType="CheckBox" fmlaLink="J39" lockText="1" noThreeD="1"/>
</file>

<file path=xl/ctrlProps/ctrlProp51.xml><?xml version="1.0" encoding="utf-8"?>
<formControlPr xmlns="http://schemas.microsoft.com/office/spreadsheetml/2009/9/main" objectType="CheckBox" fmlaLink="L39" lockText="1" noThreeD="1"/>
</file>

<file path=xl/ctrlProps/ctrlProp52.xml><?xml version="1.0" encoding="utf-8"?>
<formControlPr xmlns="http://schemas.microsoft.com/office/spreadsheetml/2009/9/main" objectType="CheckBox" fmlaLink="J42" lockText="1" noThreeD="1"/>
</file>

<file path=xl/ctrlProps/ctrlProp53.xml><?xml version="1.0" encoding="utf-8"?>
<formControlPr xmlns="http://schemas.microsoft.com/office/spreadsheetml/2009/9/main" objectType="CheckBox" fmlaLink="K42" lockText="1" noThreeD="1"/>
</file>

<file path=xl/ctrlProps/ctrlProp54.xml><?xml version="1.0" encoding="utf-8"?>
<formControlPr xmlns="http://schemas.microsoft.com/office/spreadsheetml/2009/9/main" objectType="CheckBox" fmlaLink="L42" lockText="1" noThreeD="1"/>
</file>

<file path=xl/ctrlProps/ctrlProp55.xml><?xml version="1.0" encoding="utf-8"?>
<formControlPr xmlns="http://schemas.microsoft.com/office/spreadsheetml/2009/9/main" objectType="CheckBox" fmlaLink="J43" lockText="1" noThreeD="1"/>
</file>

<file path=xl/ctrlProps/ctrlProp56.xml><?xml version="1.0" encoding="utf-8"?>
<formControlPr xmlns="http://schemas.microsoft.com/office/spreadsheetml/2009/9/main" objectType="CheckBox" fmlaLink="K43" lockText="1" noThreeD="1"/>
</file>

<file path=xl/ctrlProps/ctrlProp57.xml><?xml version="1.0" encoding="utf-8"?>
<formControlPr xmlns="http://schemas.microsoft.com/office/spreadsheetml/2009/9/main" objectType="CheckBox" fmlaLink="L43" lockText="1" noThreeD="1"/>
</file>

<file path=xl/ctrlProps/ctrlProp58.xml><?xml version="1.0" encoding="utf-8"?>
<formControlPr xmlns="http://schemas.microsoft.com/office/spreadsheetml/2009/9/main" objectType="CheckBox" fmlaLink="J44" lockText="1" noThreeD="1"/>
</file>

<file path=xl/ctrlProps/ctrlProp59.xml><?xml version="1.0" encoding="utf-8"?>
<formControlPr xmlns="http://schemas.microsoft.com/office/spreadsheetml/2009/9/main" objectType="CheckBox" fmlaLink="K44" lockText="1" noThreeD="1"/>
</file>

<file path=xl/ctrlProps/ctrlProp60.xml><?xml version="1.0" encoding="utf-8"?>
<formControlPr xmlns="http://schemas.microsoft.com/office/spreadsheetml/2009/9/main" objectType="CheckBox" fmlaLink="L44" lockText="1" noThreeD="1"/>
</file>

<file path=xl/ctrlProps/ctrlProp61.xml><?xml version="1.0" encoding="utf-8"?>
<formControlPr xmlns="http://schemas.microsoft.com/office/spreadsheetml/2009/9/main" objectType="CheckBox" fmlaLink="K47" lockText="1" noThreeD="1"/>
</file>

<file path=xl/ctrlProps/ctrlProp62.xml><?xml version="1.0" encoding="utf-8"?>
<formControlPr xmlns="http://schemas.microsoft.com/office/spreadsheetml/2009/9/main" objectType="CheckBox" fmlaLink="J47" lockText="1" noThreeD="1"/>
</file>

<file path=xl/ctrlProps/ctrlProp63.xml><?xml version="1.0" encoding="utf-8"?>
<formControlPr xmlns="http://schemas.microsoft.com/office/spreadsheetml/2009/9/main" objectType="CheckBox" fmlaLink="L47" lockText="1" noThreeD="1"/>
</file>

<file path=xl/ctrlProps/ctrlProp64.xml><?xml version="1.0" encoding="utf-8"?>
<formControlPr xmlns="http://schemas.microsoft.com/office/spreadsheetml/2009/9/main" objectType="CheckBox" fmlaLink="J48" lockText="1" noThreeD="1"/>
</file>

<file path=xl/ctrlProps/ctrlProp65.xml><?xml version="1.0" encoding="utf-8"?>
<formControlPr xmlns="http://schemas.microsoft.com/office/spreadsheetml/2009/9/main" objectType="CheckBox" fmlaLink="K48" lockText="1" noThreeD="1"/>
</file>

<file path=xl/ctrlProps/ctrlProp66.xml><?xml version="1.0" encoding="utf-8"?>
<formControlPr xmlns="http://schemas.microsoft.com/office/spreadsheetml/2009/9/main" objectType="CheckBox" fmlaLink="L48" lockText="1" noThreeD="1"/>
</file>

<file path=xl/ctrlProps/ctrlProp67.xml><?xml version="1.0" encoding="utf-8"?>
<formControlPr xmlns="http://schemas.microsoft.com/office/spreadsheetml/2009/9/main" objectType="CheckBox" fmlaLink="J51" lockText="1" noThreeD="1"/>
</file>

<file path=xl/ctrlProps/ctrlProp68.xml><?xml version="1.0" encoding="utf-8"?>
<formControlPr xmlns="http://schemas.microsoft.com/office/spreadsheetml/2009/9/main" objectType="CheckBox" fmlaLink="K51" lockText="1" noThreeD="1"/>
</file>

<file path=xl/ctrlProps/ctrlProp69.xml><?xml version="1.0" encoding="utf-8"?>
<formControlPr xmlns="http://schemas.microsoft.com/office/spreadsheetml/2009/9/main" objectType="CheckBox" fmlaLink="L51" lockText="1" noThreeD="1"/>
</file>

<file path=xl/ctrlProps/ctrlProp70.xml><?xml version="1.0" encoding="utf-8"?>
<formControlPr xmlns="http://schemas.microsoft.com/office/spreadsheetml/2009/9/main" objectType="CheckBox" fmlaLink="J52" lockText="1" noThreeD="1"/>
</file>

<file path=xl/ctrlProps/ctrlProp71.xml><?xml version="1.0" encoding="utf-8"?>
<formControlPr xmlns="http://schemas.microsoft.com/office/spreadsheetml/2009/9/main" objectType="CheckBox" fmlaLink="K52" lockText="1" noThreeD="1"/>
</file>

<file path=xl/ctrlProps/ctrlProp72.xml><?xml version="1.0" encoding="utf-8"?>
<formControlPr xmlns="http://schemas.microsoft.com/office/spreadsheetml/2009/9/main" objectType="CheckBox" fmlaLink="L52" lockText="1" noThreeD="1"/>
</file>

<file path=xl/ctrlProps/ctrlProp73.xml><?xml version="1.0" encoding="utf-8"?>
<formControlPr xmlns="http://schemas.microsoft.com/office/spreadsheetml/2009/9/main" objectType="CheckBox" fmlaLink="J53" lockText="1" noThreeD="1"/>
</file>

<file path=xl/ctrlProps/ctrlProp74.xml><?xml version="1.0" encoding="utf-8"?>
<formControlPr xmlns="http://schemas.microsoft.com/office/spreadsheetml/2009/9/main" objectType="CheckBox" fmlaLink="K53" lockText="1" noThreeD="1"/>
</file>

<file path=xl/ctrlProps/ctrlProp75.xml><?xml version="1.0" encoding="utf-8"?>
<formControlPr xmlns="http://schemas.microsoft.com/office/spreadsheetml/2009/9/main" objectType="CheckBox" fmlaLink="L53" lockText="1" noThreeD="1"/>
</file>

<file path=xl/ctrlProps/ctrlProp76.xml><?xml version="1.0" encoding="utf-8"?>
<formControlPr xmlns="http://schemas.microsoft.com/office/spreadsheetml/2009/9/main" objectType="CheckBox" fmlaLink="J54" lockText="1" noThreeD="1"/>
</file>

<file path=xl/ctrlProps/ctrlProp77.xml><?xml version="1.0" encoding="utf-8"?>
<formControlPr xmlns="http://schemas.microsoft.com/office/spreadsheetml/2009/9/main" objectType="CheckBox" fmlaLink="K54" lockText="1" noThreeD="1"/>
</file>

<file path=xl/ctrlProps/ctrlProp78.xml><?xml version="1.0" encoding="utf-8"?>
<formControlPr xmlns="http://schemas.microsoft.com/office/spreadsheetml/2009/9/main" objectType="CheckBox" fmlaLink="L54" lockText="1" noThreeD="1"/>
</file>

<file path=xl/ctrlProps/ctrlProp79.xml><?xml version="1.0" encoding="utf-8"?>
<formControlPr xmlns="http://schemas.microsoft.com/office/spreadsheetml/2009/9/main" objectType="CheckBox" fmlaLink="J55" lockText="1" noThreeD="1"/>
</file>

<file path=xl/ctrlProps/ctrlProp80.xml><?xml version="1.0" encoding="utf-8"?>
<formControlPr xmlns="http://schemas.microsoft.com/office/spreadsheetml/2009/9/main" objectType="CheckBox" fmlaLink="K55" lockText="1" noThreeD="1"/>
</file>

<file path=xl/ctrlProps/ctrlProp81.xml><?xml version="1.0" encoding="utf-8"?>
<formControlPr xmlns="http://schemas.microsoft.com/office/spreadsheetml/2009/9/main" objectType="CheckBox" fmlaLink="L55" lockText="1" noThreeD="1"/>
</file>

<file path=xl/ctrlProps/ctrlProp82.xml><?xml version="1.0" encoding="utf-8"?>
<formControlPr xmlns="http://schemas.microsoft.com/office/spreadsheetml/2009/9/main" objectType="CheckBox" fmlaLink="J56" lockText="1" noThreeD="1"/>
</file>

<file path=xl/ctrlProps/ctrlProp83.xml><?xml version="1.0" encoding="utf-8"?>
<formControlPr xmlns="http://schemas.microsoft.com/office/spreadsheetml/2009/9/main" objectType="CheckBox" fmlaLink="K56" lockText="1" noThreeD="1"/>
</file>

<file path=xl/ctrlProps/ctrlProp84.xml><?xml version="1.0" encoding="utf-8"?>
<formControlPr xmlns="http://schemas.microsoft.com/office/spreadsheetml/2009/9/main" objectType="CheckBox" fmlaLink="L56" lockText="1" noThreeD="1"/>
</file>

<file path=xl/ctrlProps/ctrlProp85.xml><?xml version="1.0" encoding="utf-8"?>
<formControlPr xmlns="http://schemas.microsoft.com/office/spreadsheetml/2009/9/main" objectType="CheckBox" fmlaLink="J57" lockText="1" noThreeD="1"/>
</file>

<file path=xl/ctrlProps/ctrlProp86.xml><?xml version="1.0" encoding="utf-8"?>
<formControlPr xmlns="http://schemas.microsoft.com/office/spreadsheetml/2009/9/main" objectType="CheckBox" fmlaLink="K57" lockText="1" noThreeD="1"/>
</file>

<file path=xl/ctrlProps/ctrlProp87.xml><?xml version="1.0" encoding="utf-8"?>
<formControlPr xmlns="http://schemas.microsoft.com/office/spreadsheetml/2009/9/main" objectType="CheckBox" fmlaLink="L57" lockText="1" noThreeD="1"/>
</file>

<file path=xl/ctrlProps/ctrlProp88.xml><?xml version="1.0" encoding="utf-8"?>
<formControlPr xmlns="http://schemas.microsoft.com/office/spreadsheetml/2009/9/main" objectType="CheckBox" fmlaLink="J61" lockText="1" noThreeD="1"/>
</file>

<file path=xl/ctrlProps/ctrlProp89.xml><?xml version="1.0" encoding="utf-8"?>
<formControlPr xmlns="http://schemas.microsoft.com/office/spreadsheetml/2009/9/main" objectType="CheckBox" fmlaLink="K61" lockText="1" noThreeD="1"/>
</file>

<file path=xl/ctrlProps/ctrlProp90.xml><?xml version="1.0" encoding="utf-8"?>
<formControlPr xmlns="http://schemas.microsoft.com/office/spreadsheetml/2009/9/main" objectType="CheckBox" fmlaLink="L61" lockText="1" noThreeD="1"/>
</file>

<file path=xl/ctrlProps/ctrlProp91.xml><?xml version="1.0" encoding="utf-8"?>
<formControlPr xmlns="http://schemas.microsoft.com/office/spreadsheetml/2009/9/main" objectType="CheckBox" fmlaLink="J62" lockText="1" noThreeD="1"/>
</file>

<file path=xl/ctrlProps/ctrlProp92.xml><?xml version="1.0" encoding="utf-8"?>
<formControlPr xmlns="http://schemas.microsoft.com/office/spreadsheetml/2009/9/main" objectType="CheckBox" fmlaLink="K62" lockText="1" noThreeD="1"/>
</file>

<file path=xl/ctrlProps/ctrlProp93.xml><?xml version="1.0" encoding="utf-8"?>
<formControlPr xmlns="http://schemas.microsoft.com/office/spreadsheetml/2009/9/main" objectType="CheckBox" fmlaLink="L62" lockText="1" noThreeD="1"/>
</file>

<file path=xl/ctrlProps/ctrlProp94.xml><?xml version="1.0" encoding="utf-8"?>
<formControlPr xmlns="http://schemas.microsoft.com/office/spreadsheetml/2009/9/main" objectType="CheckBox" fmlaLink="J63" lockText="1" noThreeD="1"/>
</file>

<file path=xl/ctrlProps/ctrlProp95.xml><?xml version="1.0" encoding="utf-8"?>
<formControlPr xmlns="http://schemas.microsoft.com/office/spreadsheetml/2009/9/main" objectType="CheckBox" fmlaLink="K63" lockText="1" noThreeD="1"/>
</file>

<file path=xl/ctrlProps/ctrlProp96.xml><?xml version="1.0" encoding="utf-8"?>
<formControlPr xmlns="http://schemas.microsoft.com/office/spreadsheetml/2009/9/main" objectType="CheckBox" fmlaLink="L63" lockText="1" noThreeD="1"/>
</file>

<file path=xl/ctrlProps/ctrlProp97.xml><?xml version="1.0" encoding="utf-8"?>
<formControlPr xmlns="http://schemas.microsoft.com/office/spreadsheetml/2009/9/main" objectType="CheckBox" fmlaLink="J73" lockText="1" noThreeD="1"/>
</file>

<file path=xl/ctrlProps/ctrlProp98.xml><?xml version="1.0" encoding="utf-8"?>
<formControlPr xmlns="http://schemas.microsoft.com/office/spreadsheetml/2009/9/main" objectType="CheckBox" fmlaLink="K73" lockText="1" noThreeD="1"/>
</file>

<file path=xl/ctrlProps/ctrlProp99.xml><?xml version="1.0" encoding="utf-8"?>
<formControlPr xmlns="http://schemas.microsoft.com/office/spreadsheetml/2009/9/main" objectType="CheckBox" fmlaLink="L73" lockText="1" noThreeD="1"/>
</file>

<file path=xl/ctrlProps/ctrlProp100.xml><?xml version="1.0" encoding="utf-8"?>
<formControlPr xmlns="http://schemas.microsoft.com/office/spreadsheetml/2009/9/main" objectType="CheckBox" fmlaLink="J74" lockText="1" noThreeD="1"/>
</file>

<file path=xl/ctrlProps/ctrlProp101.xml><?xml version="1.0" encoding="utf-8"?>
<formControlPr xmlns="http://schemas.microsoft.com/office/spreadsheetml/2009/9/main" objectType="CheckBox" fmlaLink="K74" lockText="1" noThreeD="1"/>
</file>

<file path=xl/ctrlProps/ctrlProp102.xml><?xml version="1.0" encoding="utf-8"?>
<formControlPr xmlns="http://schemas.microsoft.com/office/spreadsheetml/2009/9/main" objectType="CheckBox" fmlaLink="L74" lockText="1" noThreeD="1"/>
</file>

<file path=xl/ctrlProps/ctrlProp103.xml><?xml version="1.0" encoding="utf-8"?>
<formControlPr xmlns="http://schemas.microsoft.com/office/spreadsheetml/2009/9/main" objectType="CheckBox" fmlaLink="J79" lockText="1" noThreeD="1"/>
</file>

<file path=xl/ctrlProps/ctrlProp104.xml><?xml version="1.0" encoding="utf-8"?>
<formControlPr xmlns="http://schemas.microsoft.com/office/spreadsheetml/2009/9/main" objectType="CheckBox" fmlaLink="K79" lockText="1" noThreeD="1"/>
</file>

<file path=xl/ctrlProps/ctrlProp105.xml><?xml version="1.0" encoding="utf-8"?>
<formControlPr xmlns="http://schemas.microsoft.com/office/spreadsheetml/2009/9/main" objectType="CheckBox" fmlaLink="L79" lockText="1" noThreeD="1"/>
</file>

<file path=xl/ctrlProps/ctrlProp106.xml><?xml version="1.0" encoding="utf-8"?>
<formControlPr xmlns="http://schemas.microsoft.com/office/spreadsheetml/2009/9/main" objectType="CheckBox" fmlaLink="J81" lockText="1" noThreeD="1"/>
</file>

<file path=xl/ctrlProps/ctrlProp107.xml><?xml version="1.0" encoding="utf-8"?>
<formControlPr xmlns="http://schemas.microsoft.com/office/spreadsheetml/2009/9/main" objectType="CheckBox" fmlaLink="K81" lockText="1" noThreeD="1"/>
</file>

<file path=xl/ctrlProps/ctrlProp108.xml><?xml version="1.0" encoding="utf-8"?>
<formControlPr xmlns="http://schemas.microsoft.com/office/spreadsheetml/2009/9/main" objectType="CheckBox" fmlaLink="L81" lockText="1" noThreeD="1"/>
</file>

<file path=xl/ctrlProps/ctrlProp109.xml><?xml version="1.0" encoding="utf-8"?>
<formControlPr xmlns="http://schemas.microsoft.com/office/spreadsheetml/2009/9/main" objectType="CheckBox" fmlaLink="J82" lockText="1" noThreeD="1"/>
</file>

<file path=xl/ctrlProps/ctrlProp110.xml><?xml version="1.0" encoding="utf-8"?>
<formControlPr xmlns="http://schemas.microsoft.com/office/spreadsheetml/2009/9/main" objectType="CheckBox" fmlaLink="K82" lockText="1" noThreeD="1"/>
</file>

<file path=xl/ctrlProps/ctrlProp111.xml><?xml version="1.0" encoding="utf-8"?>
<formControlPr xmlns="http://schemas.microsoft.com/office/spreadsheetml/2009/9/main" objectType="CheckBox" fmlaLink="L82" lockText="1" noThreeD="1"/>
</file>

<file path=xl/ctrlProps/ctrlProp112.xml><?xml version="1.0" encoding="utf-8"?>
<formControlPr xmlns="http://schemas.microsoft.com/office/spreadsheetml/2009/9/main" objectType="CheckBox" fmlaLink="J83" lockText="1" noThreeD="1"/>
</file>

<file path=xl/ctrlProps/ctrlProp113.xml><?xml version="1.0" encoding="utf-8"?>
<formControlPr xmlns="http://schemas.microsoft.com/office/spreadsheetml/2009/9/main" objectType="CheckBox" fmlaLink="J84" lockText="1" noThreeD="1"/>
</file>

<file path=xl/ctrlProps/ctrlProp114.xml><?xml version="1.0" encoding="utf-8"?>
<formControlPr xmlns="http://schemas.microsoft.com/office/spreadsheetml/2009/9/main" objectType="CheckBox" fmlaLink="J85" lockText="1" noThreeD="1"/>
</file>

<file path=xl/ctrlProps/ctrlProp115.xml><?xml version="1.0" encoding="utf-8"?>
<formControlPr xmlns="http://schemas.microsoft.com/office/spreadsheetml/2009/9/main" objectType="CheckBox" fmlaLink="K83" lockText="1" noThreeD="1"/>
</file>

<file path=xl/ctrlProps/ctrlProp116.xml><?xml version="1.0" encoding="utf-8"?>
<formControlPr xmlns="http://schemas.microsoft.com/office/spreadsheetml/2009/9/main" objectType="CheckBox" fmlaLink="L83" lockText="1" noThreeD="1"/>
</file>

<file path=xl/ctrlProps/ctrlProp117.xml><?xml version="1.0" encoding="utf-8"?>
<formControlPr xmlns="http://schemas.microsoft.com/office/spreadsheetml/2009/9/main" objectType="CheckBox" fmlaLink="K84" lockText="1" noThreeD="1"/>
</file>

<file path=xl/ctrlProps/ctrlProp118.xml><?xml version="1.0" encoding="utf-8"?>
<formControlPr xmlns="http://schemas.microsoft.com/office/spreadsheetml/2009/9/main" objectType="CheckBox" fmlaLink="L84" lockText="1" noThreeD="1"/>
</file>

<file path=xl/ctrlProps/ctrlProp119.xml><?xml version="1.0" encoding="utf-8"?>
<formControlPr xmlns="http://schemas.microsoft.com/office/spreadsheetml/2009/9/main" objectType="CheckBox" fmlaLink="K85" lockText="1" noThreeD="1"/>
</file>

<file path=xl/ctrlProps/ctrlProp120.xml><?xml version="1.0" encoding="utf-8"?>
<formControlPr xmlns="http://schemas.microsoft.com/office/spreadsheetml/2009/9/main" objectType="CheckBox" fmlaLink="L85" lockText="1" noThreeD="1"/>
</file>

<file path=xl/ctrlProps/ctrlProp121.xml><?xml version="1.0" encoding="utf-8"?>
<formControlPr xmlns="http://schemas.microsoft.com/office/spreadsheetml/2009/9/main" objectType="CheckBox" fmlaLink="J12" lockText="1" noThreeD="1"/>
</file>

<file path=xl/ctrlProps/ctrlProp122.xml><?xml version="1.0" encoding="utf-8"?>
<formControlPr xmlns="http://schemas.microsoft.com/office/spreadsheetml/2009/9/main" objectType="CheckBox" fmlaLink="K12"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fmlaLink="J14" lockText="1" noThreeD="1"/>
</file>

<file path=xl/ctrlProps/ctrlProp127.xml><?xml version="1.0" encoding="utf-8"?>
<formControlPr xmlns="http://schemas.microsoft.com/office/spreadsheetml/2009/9/main" objectType="CheckBox" fmlaLink="J15" lockText="1" noThreeD="1"/>
</file>

<file path=xl/ctrlProps/ctrlProp128.xml><?xml version="1.0" encoding="utf-8"?>
<formControlPr xmlns="http://schemas.microsoft.com/office/spreadsheetml/2009/9/main" objectType="CheckBox" fmlaLink="J16" lockText="1" noThreeD="1"/>
</file>

<file path=xl/ctrlProps/ctrlProp129.xml><?xml version="1.0" encoding="utf-8"?>
<formControlPr xmlns="http://schemas.microsoft.com/office/spreadsheetml/2009/9/main" objectType="CheckBox" fmlaLink="J64" lockText="1" noThreeD="1"/>
</file>

<file path=xl/ctrlProps/ctrlProp130.xml><?xml version="1.0" encoding="utf-8"?>
<formControlPr xmlns="http://schemas.microsoft.com/office/spreadsheetml/2009/9/main" objectType="CheckBox" fmlaLink="K64" lockText="1" noThreeD="1"/>
</file>

<file path=xl/ctrlProps/ctrlProp131.xml><?xml version="1.0" encoding="utf-8"?>
<formControlPr xmlns="http://schemas.microsoft.com/office/spreadsheetml/2009/9/main" objectType="CheckBox" fmlaLink="L64"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lockText="1" noThreeD="1"/>
</file>

<file path=xl/ctrlProps/ctrlProp138.xml><?xml version="1.0" encoding="utf-8"?>
<formControlPr xmlns="http://schemas.microsoft.com/office/spreadsheetml/2009/9/main" objectType="CheckBox"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lockText="1" noThreeD="1"/>
</file>

<file path=xl/ctrlProps/ctrlProp145.xml><?xml version="1.0" encoding="utf-8"?>
<formControlPr xmlns="http://schemas.microsoft.com/office/spreadsheetml/2009/9/main" objectType="CheckBox" lockText="1" noThreeD="1"/>
</file>

<file path=xl/ctrlProps/ctrlProp146.xml><?xml version="1.0" encoding="utf-8"?>
<formControlPr xmlns="http://schemas.microsoft.com/office/spreadsheetml/2009/9/main" objectType="CheckBox" lockText="1" noThreeD="1"/>
</file>

<file path=xl/ctrlProps/ctrlProp147.xml><?xml version="1.0" encoding="utf-8"?>
<formControlPr xmlns="http://schemas.microsoft.com/office/spreadsheetml/2009/9/main" objectType="CheckBox" lockText="1" noThreeD="1"/>
</file>

<file path=xl/ctrlProps/ctrlProp148.xml><?xml version="1.0" encoding="utf-8"?>
<formControlPr xmlns="http://schemas.microsoft.com/office/spreadsheetml/2009/9/main" objectType="CheckBox" lockText="1" noThreeD="1"/>
</file>

<file path=xl/ctrlProps/ctrlProp149.xml><?xml version="1.0" encoding="utf-8"?>
<formControlPr xmlns="http://schemas.microsoft.com/office/spreadsheetml/2009/9/main" objectType="CheckBox" lockText="1" noThreeD="1"/>
</file>

<file path=xl/ctrlProps/ctrlProp150.xml><?xml version="1.0" encoding="utf-8"?>
<formControlPr xmlns="http://schemas.microsoft.com/office/spreadsheetml/2009/9/main" objectType="CheckBox" fmlaLink="J65" lockText="1" noThreeD="1"/>
</file>

<file path=xl/ctrlProps/ctrlProp151.xml><?xml version="1.0" encoding="utf-8"?>
<formControlPr xmlns="http://schemas.microsoft.com/office/spreadsheetml/2009/9/main" objectType="CheckBox" fmlaLink="K65" lockText="1" noThreeD="1"/>
</file>

<file path=xl/ctrlProps/ctrlProp152.xml><?xml version="1.0" encoding="utf-8"?>
<formControlPr xmlns="http://schemas.microsoft.com/office/spreadsheetml/2009/9/main" objectType="CheckBox" fmlaLink="L65" lockText="1" noThreeD="1"/>
</file>

<file path=xl/ctrlProps/ctrlProp153.xml><?xml version="1.0" encoding="utf-8"?>
<formControlPr xmlns="http://schemas.microsoft.com/office/spreadsheetml/2009/9/main" objectType="CheckBox" lockText="1" noThreeD="1"/>
</file>

<file path=xl/ctrlProps/ctrlProp154.xml><?xml version="1.0" encoding="utf-8"?>
<formControlPr xmlns="http://schemas.microsoft.com/office/spreadsheetml/2009/9/main" objectType="CheckBox" lockText="1" noThreeD="1"/>
</file>

<file path=xl/ctrlProps/ctrlProp155.xml><?xml version="1.0" encoding="utf-8"?>
<formControlPr xmlns="http://schemas.microsoft.com/office/spreadsheetml/2009/9/main" objectType="CheckBox" lockText="1" noThreeD="1"/>
</file>

<file path=xl/ctrlProps/ctrlProp156.xml><?xml version="1.0" encoding="utf-8"?>
<formControlPr xmlns="http://schemas.microsoft.com/office/spreadsheetml/2009/9/main" objectType="CheckBox" lockText="1" noThreeD="1"/>
</file>

<file path=xl/ctrlProps/ctrlProp157.xml><?xml version="1.0" encoding="utf-8"?>
<formControlPr xmlns="http://schemas.microsoft.com/office/spreadsheetml/2009/9/main" objectType="CheckBox" lockText="1" noThreeD="1"/>
</file>

<file path=xl/ctrlProps/ctrlProp158.xml><?xml version="1.0" encoding="utf-8"?>
<formControlPr xmlns="http://schemas.microsoft.com/office/spreadsheetml/2009/9/main" objectType="CheckBox" lockText="1" noThreeD="1"/>
</file>

<file path=xl/ctrlProps/ctrlProp159.xml><?xml version="1.0" encoding="utf-8"?>
<formControlPr xmlns="http://schemas.microsoft.com/office/spreadsheetml/2009/9/main" objectType="CheckBox" lockText="1" noThreeD="1"/>
</file>

<file path=xl/ctrlProps/ctrlProp160.xml><?xml version="1.0" encoding="utf-8"?>
<formControlPr xmlns="http://schemas.microsoft.com/office/spreadsheetml/2009/9/main" objectType="CheckBox" lockText="1" noThreeD="1"/>
</file>

<file path=xl/ctrlProps/ctrlProp161.xml><?xml version="1.0" encoding="utf-8"?>
<formControlPr xmlns="http://schemas.microsoft.com/office/spreadsheetml/2009/9/main" objectType="CheckBox" lockText="1" noThreeD="1"/>
</file>

<file path=xl/ctrlProps/ctrlProp162.xml><?xml version="1.0" encoding="utf-8"?>
<formControlPr xmlns="http://schemas.microsoft.com/office/spreadsheetml/2009/9/main" objectType="CheckBox" lockText="1" noThreeD="1"/>
</file>

<file path=xl/ctrlProps/ctrlProp163.xml><?xml version="1.0" encoding="utf-8"?>
<formControlPr xmlns="http://schemas.microsoft.com/office/spreadsheetml/2009/9/main" objectType="CheckBox" lockText="1" noThreeD="1"/>
</file>

<file path=xl/ctrlProps/ctrlProp164.xml><?xml version="1.0" encoding="utf-8"?>
<formControlPr xmlns="http://schemas.microsoft.com/office/spreadsheetml/2009/9/main" objectType="CheckBox" lockText="1" noThreeD="1"/>
</file>

<file path=xl/ctrlProps/ctrlProp165.xml><?xml version="1.0" encoding="utf-8"?>
<formControlPr xmlns="http://schemas.microsoft.com/office/spreadsheetml/2009/9/main" objectType="CheckBox" lockText="1" noThreeD="1"/>
</file>

<file path=xl/ctrlProps/ctrlProp166.xml><?xml version="1.0" encoding="utf-8"?>
<formControlPr xmlns="http://schemas.microsoft.com/office/spreadsheetml/2009/9/main" objectType="CheckBox" lockText="1" noThreeD="1"/>
</file>

<file path=xl/ctrlProps/ctrlProp167.xml><?xml version="1.0" encoding="utf-8"?>
<formControlPr xmlns="http://schemas.microsoft.com/office/spreadsheetml/2009/9/main" objectType="CheckBox" lockText="1" noThreeD="1"/>
</file>

<file path=xl/ctrlProps/ctrlProp168.xml><?xml version="1.0" encoding="utf-8"?>
<formControlPr xmlns="http://schemas.microsoft.com/office/spreadsheetml/2009/9/main" objectType="CheckBox" lockText="1" noThreeD="1"/>
</file>

<file path=xl/ctrlProps/ctrlProp169.xml><?xml version="1.0" encoding="utf-8"?>
<formControlPr xmlns="http://schemas.microsoft.com/office/spreadsheetml/2009/9/main" objectType="CheckBox" lockText="1" noThreeD="1"/>
</file>

<file path=xl/ctrlProps/ctrlProp170.xml><?xml version="1.0" encoding="utf-8"?>
<formControlPr xmlns="http://schemas.microsoft.com/office/spreadsheetml/2009/9/main" objectType="CheckBox" lockText="1" noThreeD="1"/>
</file>

<file path=xl/ctrlProps/ctrlProp171.xml><?xml version="1.0" encoding="utf-8"?>
<formControlPr xmlns="http://schemas.microsoft.com/office/spreadsheetml/2009/9/main" objectType="CheckBox" fmlaLink="J8" lockText="1" noThreeD="1"/>
</file>

<file path=xl/ctrlProps/ctrlProp172.xml><?xml version="1.0" encoding="utf-8"?>
<formControlPr xmlns="http://schemas.microsoft.com/office/spreadsheetml/2009/9/main" objectType="CheckBox" fmlaLink="K8" lockText="1" noThreeD="1"/>
</file>

<file path=xl/ctrlProps/ctrlProp173.xml><?xml version="1.0" encoding="utf-8"?>
<formControlPr xmlns="http://schemas.microsoft.com/office/spreadsheetml/2009/9/main" objectType="CheckBox" fmlaLink="L8" lockText="1" noThreeD="1"/>
</file>

<file path=xl/ctrlProps/ctrlProp174.xml><?xml version="1.0" encoding="utf-8"?>
<formControlPr xmlns="http://schemas.microsoft.com/office/spreadsheetml/2009/9/main" objectType="CheckBox" fmlaLink="J9" lockText="1" noThreeD="1"/>
</file>

<file path=xl/ctrlProps/ctrlProp175.xml><?xml version="1.0" encoding="utf-8"?>
<formControlPr xmlns="http://schemas.microsoft.com/office/spreadsheetml/2009/9/main" objectType="CheckBox" fmlaLink="K9" lockText="1" noThreeD="1"/>
</file>

<file path=xl/ctrlProps/ctrlProp176.xml><?xml version="1.0" encoding="utf-8"?>
<formControlPr xmlns="http://schemas.microsoft.com/office/spreadsheetml/2009/9/main" objectType="CheckBox" fmlaLink="L9" lockText="1" noThreeD="1"/>
</file>

<file path=xl/ctrlProps/ctrlProp177.xml><?xml version="1.0" encoding="utf-8"?>
<formControlPr xmlns="http://schemas.microsoft.com/office/spreadsheetml/2009/9/main" objectType="CheckBox" fmlaLink="J10" lockText="1" noThreeD="1"/>
</file>

<file path=xl/ctrlProps/ctrlProp178.xml><?xml version="1.0" encoding="utf-8"?>
<formControlPr xmlns="http://schemas.microsoft.com/office/spreadsheetml/2009/9/main" objectType="CheckBox" fmlaLink="K10" lockText="1" noThreeD="1"/>
</file>

<file path=xl/ctrlProps/ctrlProp179.xml><?xml version="1.0" encoding="utf-8"?>
<formControlPr xmlns="http://schemas.microsoft.com/office/spreadsheetml/2009/9/main" objectType="CheckBox" fmlaLink="L10" lockText="1" noThreeD="1"/>
</file>

<file path=xl/ctrlProps/ctrlProp180.xml><?xml version="1.0" encoding="utf-8"?>
<formControlPr xmlns="http://schemas.microsoft.com/office/spreadsheetml/2009/9/main" objectType="CheckBox" fmlaLink="J11" lockText="1" noThreeD="1"/>
</file>

<file path=xl/ctrlProps/ctrlProp181.xml><?xml version="1.0" encoding="utf-8"?>
<formControlPr xmlns="http://schemas.microsoft.com/office/spreadsheetml/2009/9/main" objectType="CheckBox" fmlaLink="K11" lockText="1" noThreeD="1"/>
</file>

<file path=xl/ctrlProps/ctrlProp182.xml><?xml version="1.0" encoding="utf-8"?>
<formControlPr xmlns="http://schemas.microsoft.com/office/spreadsheetml/2009/9/main" objectType="CheckBox" fmlaLink="L11" lockText="1" noThreeD="1"/>
</file>

<file path=xl/ctrlProps/ctrlProp183.xml><?xml version="1.0" encoding="utf-8"?>
<formControlPr xmlns="http://schemas.microsoft.com/office/spreadsheetml/2009/9/main" objectType="CheckBox" fmlaLink="J12" lockText="1" noThreeD="1"/>
</file>

<file path=xl/ctrlProps/ctrlProp184.xml><?xml version="1.0" encoding="utf-8"?>
<formControlPr xmlns="http://schemas.microsoft.com/office/spreadsheetml/2009/9/main" objectType="CheckBox" fmlaLink="K12" lockText="1" noThreeD="1"/>
</file>

<file path=xl/ctrlProps/ctrlProp185.xml><?xml version="1.0" encoding="utf-8"?>
<formControlPr xmlns="http://schemas.microsoft.com/office/spreadsheetml/2009/9/main" objectType="CheckBox" fmlaLink="L12" lockText="1" noThreeD="1"/>
</file>

<file path=xl/ctrlProps/ctrlProp186.xml><?xml version="1.0" encoding="utf-8"?>
<formControlPr xmlns="http://schemas.microsoft.com/office/spreadsheetml/2009/9/main" objectType="CheckBox" fmlaLink="J13" lockText="1" noThreeD="1"/>
</file>

<file path=xl/ctrlProps/ctrlProp187.xml><?xml version="1.0" encoding="utf-8"?>
<formControlPr xmlns="http://schemas.microsoft.com/office/spreadsheetml/2009/9/main" objectType="CheckBox" fmlaLink="K13" lockText="1" noThreeD="1"/>
</file>

<file path=xl/ctrlProps/ctrlProp188.xml><?xml version="1.0" encoding="utf-8"?>
<formControlPr xmlns="http://schemas.microsoft.com/office/spreadsheetml/2009/9/main" objectType="CheckBox" fmlaLink="L13" lockText="1" noThreeD="1"/>
</file>

<file path=xl/ctrlProps/ctrlProp189.xml><?xml version="1.0" encoding="utf-8"?>
<formControlPr xmlns="http://schemas.microsoft.com/office/spreadsheetml/2009/9/main" objectType="CheckBox" fmlaLink="J14" lockText="1" noThreeD="1"/>
</file>

<file path=xl/ctrlProps/ctrlProp190.xml><?xml version="1.0" encoding="utf-8"?>
<formControlPr xmlns="http://schemas.microsoft.com/office/spreadsheetml/2009/9/main" objectType="CheckBox" fmlaLink="K14" lockText="1" noThreeD="1"/>
</file>

<file path=xl/ctrlProps/ctrlProp191.xml><?xml version="1.0" encoding="utf-8"?>
<formControlPr xmlns="http://schemas.microsoft.com/office/spreadsheetml/2009/9/main" objectType="CheckBox" fmlaLink="L14" lockText="1" noThreeD="1"/>
</file>

<file path=xl/ctrlProps/ctrlProp192.xml><?xml version="1.0" encoding="utf-8"?>
<formControlPr xmlns="http://schemas.microsoft.com/office/spreadsheetml/2009/9/main" objectType="CheckBox" fmlaLink="J15" lockText="1" noThreeD="1"/>
</file>

<file path=xl/ctrlProps/ctrlProp193.xml><?xml version="1.0" encoding="utf-8"?>
<formControlPr xmlns="http://schemas.microsoft.com/office/spreadsheetml/2009/9/main" objectType="CheckBox" fmlaLink="K15" lockText="1" noThreeD="1"/>
</file>

<file path=xl/ctrlProps/ctrlProp194.xml><?xml version="1.0" encoding="utf-8"?>
<formControlPr xmlns="http://schemas.microsoft.com/office/spreadsheetml/2009/9/main" objectType="CheckBox" fmlaLink="L15" lockText="1" noThreeD="1"/>
</file>

<file path=xl/ctrlProps/ctrlProp195.xml><?xml version="1.0" encoding="utf-8"?>
<formControlPr xmlns="http://schemas.microsoft.com/office/spreadsheetml/2009/9/main" objectType="CheckBox" fmlaLink="J19" lockText="1" noThreeD="1"/>
</file>

<file path=xl/ctrlProps/ctrlProp196.xml><?xml version="1.0" encoding="utf-8"?>
<formControlPr xmlns="http://schemas.microsoft.com/office/spreadsheetml/2009/9/main" objectType="CheckBox" fmlaLink="K19" lockText="1" noThreeD="1"/>
</file>

<file path=xl/ctrlProps/ctrlProp197.xml><?xml version="1.0" encoding="utf-8"?>
<formControlPr xmlns="http://schemas.microsoft.com/office/spreadsheetml/2009/9/main" objectType="CheckBox" fmlaLink="L19" lockText="1" noThreeD="1"/>
</file>

<file path=xl/ctrlProps/ctrlProp198.xml><?xml version="1.0" encoding="utf-8"?>
<formControlPr xmlns="http://schemas.microsoft.com/office/spreadsheetml/2009/9/main" objectType="CheckBox" fmlaLink="J20" lockText="1" noThreeD="1"/>
</file>

<file path=xl/ctrlProps/ctrlProp199.xml><?xml version="1.0" encoding="utf-8"?>
<formControlPr xmlns="http://schemas.microsoft.com/office/spreadsheetml/2009/9/main" objectType="CheckBox" fmlaLink="K20" lockText="1" noThreeD="1"/>
</file>

<file path=xl/ctrlProps/ctrlProp200.xml><?xml version="1.0" encoding="utf-8"?>
<formControlPr xmlns="http://schemas.microsoft.com/office/spreadsheetml/2009/9/main" objectType="CheckBox" fmlaLink="L20" lockText="1" noThreeD="1"/>
</file>

<file path=xl/ctrlProps/ctrlProp201.xml><?xml version="1.0" encoding="utf-8"?>
<formControlPr xmlns="http://schemas.microsoft.com/office/spreadsheetml/2009/9/main" objectType="CheckBox" fmlaLink="J21" lockText="1" noThreeD="1"/>
</file>

<file path=xl/ctrlProps/ctrlProp202.xml><?xml version="1.0" encoding="utf-8"?>
<formControlPr xmlns="http://schemas.microsoft.com/office/spreadsheetml/2009/9/main" objectType="CheckBox" fmlaLink="K21" lockText="1" noThreeD="1"/>
</file>

<file path=xl/ctrlProps/ctrlProp203.xml><?xml version="1.0" encoding="utf-8"?>
<formControlPr xmlns="http://schemas.microsoft.com/office/spreadsheetml/2009/9/main" objectType="CheckBox" fmlaLink="L21" lockText="1" noThreeD="1"/>
</file>

<file path=xl/ctrlProps/ctrlProp204.xml><?xml version="1.0" encoding="utf-8"?>
<formControlPr xmlns="http://schemas.microsoft.com/office/spreadsheetml/2009/9/main" objectType="CheckBox" fmlaLink="J22" lockText="1" noThreeD="1"/>
</file>

<file path=xl/ctrlProps/ctrlProp205.xml><?xml version="1.0" encoding="utf-8"?>
<formControlPr xmlns="http://schemas.microsoft.com/office/spreadsheetml/2009/9/main" objectType="CheckBox" fmlaLink="K22" lockText="1" noThreeD="1"/>
</file>

<file path=xl/ctrlProps/ctrlProp206.xml><?xml version="1.0" encoding="utf-8"?>
<formControlPr xmlns="http://schemas.microsoft.com/office/spreadsheetml/2009/9/main" objectType="CheckBox" fmlaLink="L22" lockText="1" noThreeD="1"/>
</file>

<file path=xl/ctrlProps/ctrlProp207.xml><?xml version="1.0" encoding="utf-8"?>
<formControlPr xmlns="http://schemas.microsoft.com/office/spreadsheetml/2009/9/main" objectType="CheckBox" fmlaLink="J23" lockText="1" noThreeD="1"/>
</file>

<file path=xl/ctrlProps/ctrlProp208.xml><?xml version="1.0" encoding="utf-8"?>
<formControlPr xmlns="http://schemas.microsoft.com/office/spreadsheetml/2009/9/main" objectType="CheckBox" fmlaLink="K23" lockText="1" noThreeD="1"/>
</file>

<file path=xl/ctrlProps/ctrlProp209.xml><?xml version="1.0" encoding="utf-8"?>
<formControlPr xmlns="http://schemas.microsoft.com/office/spreadsheetml/2009/9/main" objectType="CheckBox" fmlaLink="L23" lockText="1" noThreeD="1"/>
</file>

<file path=xl/drawings/drawing1.xml><?xml version="1.0" encoding="utf-8"?>
<xdr:wsDr xmlns:xdr="http://schemas.openxmlformats.org/drawingml/2006/spreadsheetDrawing" xmlns:a="http://schemas.openxmlformats.org/drawingml/2006/main">
  <xdr:twoCellAnchor>
    <xdr:from>
      <xdr:col>0</xdr:col>
      <xdr:colOff>657225</xdr:colOff>
      <xdr:row>1</xdr:row>
      <xdr:rowOff>104774</xdr:rowOff>
    </xdr:from>
    <xdr:to>
      <xdr:col>4</xdr:col>
      <xdr:colOff>1714499</xdr:colOff>
      <xdr:row>10</xdr:row>
      <xdr:rowOff>139699</xdr:rowOff>
    </xdr:to>
    <xdr:sp macro="" textlink="">
      <xdr:nvSpPr>
        <xdr:cNvPr id="3" name="テキスト ボックス 2">
          <a:extLst>
            <a:ext uri="{FF2B5EF4-FFF2-40B4-BE49-F238E27FC236}">
              <a16:creationId xmlns:a16="http://schemas.microsoft.com/office/drawing/2014/main" id="{61C851DF-EFA9-E5E9-083F-D0C6389848EC}"/>
            </a:ext>
          </a:extLst>
        </xdr:cNvPr>
        <xdr:cNvSpPr txBox="1"/>
      </xdr:nvSpPr>
      <xdr:spPr>
        <a:xfrm>
          <a:off x="657225" y="714374"/>
          <a:ext cx="9401174" cy="2092325"/>
        </a:xfrm>
        <a:prstGeom prst="rect">
          <a:avLst/>
        </a:prstGeom>
        <a:solidFill>
          <a:schemeClr val="lt1"/>
        </a:solidFill>
        <a:ln w="1905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1" u="sng" kern="1200"/>
            <a:t>はじめに</a:t>
          </a:r>
          <a:endParaRPr kumimoji="1" lang="en-US" altLang="ja-JP" sz="1100" b="1" u="sng" kern="1200"/>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kern="1200"/>
            <a:t>　持株会社によるグループ会社への広告審査制度導入に伴い、従来の外部発表チェックシートの構成・適用を改定して新たに</a:t>
          </a:r>
          <a:r>
            <a:rPr kumimoji="1" lang="ja-JP" altLang="en-US" sz="1100" b="1" u="sng" kern="1200"/>
            <a:t>「</a:t>
          </a:r>
          <a:r>
            <a:rPr lang="ja-JP" altLang="ja-JP" sz="1100" b="1" u="sng">
              <a:solidFill>
                <a:schemeClr val="dk1"/>
              </a:solidFill>
              <a:effectLst/>
              <a:latin typeface="+mn-lt"/>
              <a:ea typeface="+mn-ea"/>
              <a:cs typeface="+mn-cs"/>
            </a:rPr>
            <a:t>外部発表</a:t>
          </a:r>
          <a:r>
            <a:rPr lang="en-US" altLang="ja-JP" sz="1100" b="1" u="sng">
              <a:solidFill>
                <a:schemeClr val="dk1"/>
              </a:solidFill>
              <a:effectLst/>
              <a:latin typeface="+mn-lt"/>
              <a:ea typeface="+mn-ea"/>
              <a:cs typeface="+mn-cs"/>
            </a:rPr>
            <a:t>_</a:t>
          </a:r>
          <a:r>
            <a:rPr lang="ja-JP" altLang="ja-JP" sz="1100" b="1" u="sng">
              <a:solidFill>
                <a:schemeClr val="dk1"/>
              </a:solidFill>
              <a:effectLst/>
              <a:latin typeface="+mn-lt"/>
              <a:ea typeface="+mn-ea"/>
              <a:cs typeface="+mn-cs"/>
            </a:rPr>
            <a:t>広告表示チェックシート</a:t>
          </a:r>
          <a:r>
            <a:rPr lang="ja-JP" altLang="en-US" sz="1100" b="1" u="sng">
              <a:solidFill>
                <a:schemeClr val="dk1"/>
              </a:solidFill>
              <a:effectLst/>
              <a:latin typeface="+mn-lt"/>
              <a:ea typeface="+mn-ea"/>
              <a:cs typeface="+mn-cs"/>
            </a:rPr>
            <a:t>」</a:t>
          </a:r>
          <a:r>
            <a:rPr lang="ja-JP" altLang="en-US" sz="1100" b="0" u="none">
              <a:solidFill>
                <a:schemeClr val="dk1"/>
              </a:solidFill>
              <a:effectLst/>
              <a:latin typeface="+mn-lt"/>
              <a:ea typeface="+mn-ea"/>
              <a:cs typeface="+mn-cs"/>
            </a:rPr>
            <a:t>（以下本チェックシート）</a:t>
          </a:r>
          <a:r>
            <a:rPr lang="ja-JP" altLang="en-US" sz="1100">
              <a:solidFill>
                <a:schemeClr val="dk1"/>
              </a:solidFill>
              <a:effectLst/>
              <a:latin typeface="+mn-lt"/>
              <a:ea typeface="+mn-ea"/>
              <a:cs typeface="+mn-cs"/>
            </a:rPr>
            <a:t>とし</a:t>
          </a:r>
          <a:r>
            <a:rPr kumimoji="1" lang="ja-JP" altLang="en-US" sz="1100" kern="1200"/>
            <a:t>ました。権限責任規程３部１項（７）［１］、［２］の「</a:t>
          </a:r>
          <a:r>
            <a:rPr lang="ja-JP" altLang="en-US" sz="1100" b="0" i="0" u="none" strike="noStrike" baseline="0">
              <a:solidFill>
                <a:schemeClr val="dk1"/>
              </a:solidFill>
              <a:latin typeface="+mn-lt"/>
              <a:ea typeface="+mn-ea"/>
              <a:cs typeface="+mn-cs"/>
            </a:rPr>
            <a:t>社外への会社情報の提供」を行う際には</a:t>
          </a:r>
          <a:r>
            <a:rPr kumimoji="1" lang="ja-JP" altLang="en-US" sz="1100" kern="1200"/>
            <a:t>外部発表前に本チェックシートによる提供情報のチェックを行い、上記規程の決裁伺いに本チェックシート添付して下さい。</a:t>
          </a:r>
          <a:endParaRPr kumimoji="1" lang="en-US" altLang="ja-JP" sz="1100" kern="1200"/>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kern="1200"/>
            <a:t>　なお、本チェックシートは運用状況等により改版することがありますので、最新版（広報部門と知財輸出部門の</a:t>
          </a:r>
          <a:r>
            <a:rPr kumimoji="1" lang="en-US" altLang="ja-JP" sz="1100" kern="1200"/>
            <a:t>HP</a:t>
          </a:r>
          <a:r>
            <a:rPr kumimoji="1" lang="ja-JP" altLang="en-US" sz="1100" kern="1200"/>
            <a:t>にあります）を使用して下さい。</a:t>
          </a:r>
          <a:endParaRPr kumimoji="1" lang="en-US" altLang="ja-JP" sz="1100" kern="1200"/>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kern="1200"/>
            <a:t>　</a:t>
          </a:r>
          <a:r>
            <a:rPr kumimoji="1" lang="en-US" altLang="ja-JP" sz="1100" b="1" kern="1200">
              <a:solidFill>
                <a:srgbClr val="FF0000"/>
              </a:solidFill>
            </a:rPr>
            <a:t>【</a:t>
          </a:r>
          <a:r>
            <a:rPr kumimoji="1" lang="ja-JP" altLang="en-US" sz="1100" b="1" kern="1200">
              <a:solidFill>
                <a:srgbClr val="FF0000"/>
              </a:solidFill>
            </a:rPr>
            <a:t>注意</a:t>
          </a:r>
          <a:r>
            <a:rPr kumimoji="1" lang="en-US" altLang="ja-JP" sz="1100" b="1" kern="1200">
              <a:solidFill>
                <a:srgbClr val="FF0000"/>
              </a:solidFill>
            </a:rPr>
            <a:t>】TVCM</a:t>
          </a:r>
          <a:r>
            <a:rPr kumimoji="1" lang="ja-JP" altLang="en-US" sz="1100" b="1" kern="1200">
              <a:solidFill>
                <a:srgbClr val="FF0000"/>
              </a:solidFill>
            </a:rPr>
            <a:t>、新聞広告は持株会社による</a:t>
          </a:r>
          <a:r>
            <a:rPr kumimoji="1" lang="ja-JP" altLang="ja-JP" sz="1100" b="1">
              <a:solidFill>
                <a:srgbClr val="FF0000"/>
              </a:solidFill>
              <a:effectLst/>
              <a:latin typeface="+mn-lt"/>
              <a:ea typeface="+mn-ea"/>
              <a:cs typeface="+mn-cs"/>
            </a:rPr>
            <a:t>事前の</a:t>
          </a:r>
          <a:r>
            <a:rPr kumimoji="1" lang="ja-JP" altLang="en-US" sz="1100" b="1">
              <a:solidFill>
                <a:srgbClr val="FF0000"/>
              </a:solidFill>
              <a:effectLst/>
              <a:latin typeface="+mn-lt"/>
              <a:ea typeface="+mn-ea"/>
              <a:cs typeface="+mn-cs"/>
            </a:rPr>
            <a:t>審査が必要です。当該審査には一定の期間（一カ月程度）が必要ですので、</a:t>
          </a:r>
          <a:r>
            <a:rPr kumimoji="1" lang="en-US" altLang="ja-JP" sz="1100" b="1">
              <a:solidFill>
                <a:srgbClr val="FF0000"/>
              </a:solidFill>
              <a:effectLst/>
              <a:latin typeface="+mn-lt"/>
              <a:ea typeface="+mn-ea"/>
              <a:cs typeface="+mn-cs"/>
            </a:rPr>
            <a:t>TVCM</a:t>
          </a:r>
          <a:r>
            <a:rPr kumimoji="1" lang="ja-JP" altLang="en-US" sz="1100" b="1">
              <a:solidFill>
                <a:srgbClr val="FF0000"/>
              </a:solidFill>
              <a:effectLst/>
              <a:latin typeface="+mn-lt"/>
              <a:ea typeface="+mn-ea"/>
              <a:cs typeface="+mn-cs"/>
            </a:rPr>
            <a:t>、新聞広告については計画の段階で営業推進部広報部門のお問合せフォーム（</a:t>
          </a:r>
          <a:r>
            <a:rPr kumimoji="1" lang="en-US" altLang="ja-JP" sz="1100" b="1" baseline="0">
              <a:solidFill>
                <a:srgbClr val="FF0000"/>
              </a:solidFill>
              <a:effectLst/>
              <a:latin typeface="+mn-lt"/>
              <a:ea typeface="+mn-ea"/>
              <a:cs typeface="+mn-cs"/>
            </a:rPr>
            <a:t>https://forms.office.com/r/D5ewzSKvnd</a:t>
          </a:r>
          <a:r>
            <a:rPr kumimoji="1" lang="ja-JP" altLang="en-US" sz="1100" b="1">
              <a:solidFill>
                <a:srgbClr val="FF0000"/>
              </a:solidFill>
              <a:effectLst/>
              <a:latin typeface="+mn-lt"/>
              <a:ea typeface="+mn-ea"/>
              <a:cs typeface="+mn-cs"/>
            </a:rPr>
            <a:t>）にご相談下さい。</a:t>
          </a:r>
          <a:endParaRPr kumimoji="1" lang="ja-JP" altLang="en-US" sz="1100" b="1" kern="1200">
            <a:solidFill>
              <a:srgbClr val="FF0000"/>
            </a:solidFill>
          </a:endParaRPr>
        </a:p>
      </xdr:txBody>
    </xdr:sp>
    <xdr:clientData/>
  </xdr:twoCellAnchor>
  <xdr:twoCellAnchor>
    <xdr:from>
      <xdr:col>1</xdr:col>
      <xdr:colOff>0</xdr:colOff>
      <xdr:row>11</xdr:row>
      <xdr:rowOff>9525</xdr:rowOff>
    </xdr:from>
    <xdr:to>
      <xdr:col>4</xdr:col>
      <xdr:colOff>1704974</xdr:colOff>
      <xdr:row>16</xdr:row>
      <xdr:rowOff>1524000</xdr:rowOff>
    </xdr:to>
    <xdr:sp macro="" textlink="">
      <xdr:nvSpPr>
        <xdr:cNvPr id="4" name="テキスト ボックス 3">
          <a:extLst>
            <a:ext uri="{FF2B5EF4-FFF2-40B4-BE49-F238E27FC236}">
              <a16:creationId xmlns:a16="http://schemas.microsoft.com/office/drawing/2014/main" id="{2B521716-9377-4A1D-A952-4B3C07A845B0}"/>
            </a:ext>
          </a:extLst>
        </xdr:cNvPr>
        <xdr:cNvSpPr txBox="1"/>
      </xdr:nvSpPr>
      <xdr:spPr>
        <a:xfrm>
          <a:off x="685800" y="2628900"/>
          <a:ext cx="9391649" cy="2705100"/>
        </a:xfrm>
        <a:prstGeom prst="rect">
          <a:avLst/>
        </a:prstGeom>
        <a:solidFill>
          <a:schemeClr val="lt1"/>
        </a:solidFill>
        <a:ln w="1905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1" u="sng" kern="1200"/>
            <a:t>本チェックシートの書き方</a:t>
          </a:r>
          <a:endParaRPr kumimoji="1" lang="en-US" altLang="ja-JP" sz="1100" b="1" u="sng" kern="1200"/>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kern="1200"/>
            <a:t>　下表に示す</a:t>
          </a:r>
          <a:r>
            <a:rPr kumimoji="1" lang="ja-JP" altLang="en-US" sz="1100" b="1" kern="1200"/>
            <a:t>「外部発表の種別」</a:t>
          </a:r>
          <a:r>
            <a:rPr kumimoji="1" lang="ja-JP" altLang="en-US" sz="1100" kern="1200"/>
            <a:t>によって、所定のチェックシートに従い提供する会社情報をチェックしてください。</a:t>
          </a:r>
          <a:endParaRPr kumimoji="1" lang="en-US" altLang="ja-JP" sz="1100" kern="1200"/>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kern="1200"/>
            <a:t>　チェックは自主チェックを原則とします。必ず複数名でのチェックと確認をお願いします。</a:t>
          </a:r>
          <a:endParaRPr kumimoji="1" lang="en-US" altLang="ja-JP" sz="1100" kern="1200"/>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kern="1200"/>
            <a:t>　チェック後は下記を確認してください。</a:t>
          </a:r>
          <a:endParaRPr kumimoji="1" lang="en-US" altLang="ja-JP" sz="1100" kern="1200"/>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kern="1200"/>
            <a:t>　◎使用するチェックシートは正しいか？</a:t>
          </a:r>
          <a:endParaRPr kumimoji="1" lang="en-US" altLang="ja-JP" sz="1100" kern="1200"/>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kern="1200"/>
            <a:t>　◎チェック漏れはないか？　　</a:t>
          </a:r>
          <a:endParaRPr kumimoji="1" lang="en-US" altLang="ja-JP" sz="1100" kern="1200"/>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kern="1200"/>
            <a:t>　◎「広告・宣伝用」チェックシート、「共通」チェックシートにおいては「いいえ」があると不適切な発表</a:t>
          </a:r>
          <a:endParaRPr kumimoji="1" lang="en-US" altLang="ja-JP" sz="1100" kern="1200"/>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kern="1200"/>
            <a:t>　　になりますので、解消してください。</a:t>
          </a:r>
          <a:endParaRPr kumimoji="1" lang="en-US" altLang="ja-JP" sz="1100" kern="1200"/>
        </a:p>
        <a:p>
          <a:pPr marL="0" marR="0" lvl="0" indent="0" defTabSz="914400" eaLnBrk="1" fontAlgn="auto" latinLnBrk="0" hangingPunct="1">
            <a:lnSpc>
              <a:spcPct val="100000"/>
            </a:lnSpc>
            <a:spcBef>
              <a:spcPts val="0"/>
            </a:spcBef>
            <a:spcAft>
              <a:spcPts val="0"/>
            </a:spcAft>
            <a:buClrTx/>
            <a:buSzTx/>
            <a:buFontTx/>
            <a:buNone/>
            <a:tabLst/>
            <a:defRPr/>
          </a:pPr>
          <a:endParaRPr kumimoji="1" lang="en-US" altLang="ja-JP" sz="1100" b="1" kern="1200"/>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1" kern="1200"/>
            <a:t>　　</a:t>
          </a:r>
          <a:r>
            <a:rPr kumimoji="1" lang="ja-JP" altLang="en-US" sz="1100" b="0" kern="1200"/>
            <a:t>（備考）「論文・書籍・技術解説用 </a:t>
          </a:r>
          <a:r>
            <a:rPr kumimoji="1" lang="en-US" altLang="ja-JP" sz="1100" b="0" kern="1200"/>
            <a:t>_</a:t>
          </a:r>
          <a:r>
            <a:rPr kumimoji="1" lang="ja-JP" altLang="en-US" sz="1100" b="0" kern="1200"/>
            <a:t>総括表」チェックシート、「論文・書籍・技術用</a:t>
          </a:r>
          <a:r>
            <a:rPr kumimoji="1" lang="en-US" altLang="ja-JP" sz="1100" b="0" kern="1200"/>
            <a:t>_</a:t>
          </a:r>
          <a:r>
            <a:rPr kumimoji="1" lang="ja-JP" altLang="en-US" sz="1100" b="0" kern="1200"/>
            <a:t>個別確認」チェックシートは従来の外部発表チェック</a:t>
          </a:r>
          <a:endParaRPr kumimoji="1" lang="en-US" altLang="ja-JP" sz="1100" b="0" kern="1200"/>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0" kern="1200"/>
            <a:t>　　　　　　</a:t>
          </a:r>
          <a:r>
            <a:rPr kumimoji="1" lang="ja-JP" altLang="en-US" sz="1100" b="0" kern="1200" baseline="0"/>
            <a:t> </a:t>
          </a:r>
          <a:r>
            <a:rPr kumimoji="1" lang="ja-JP" altLang="en-US" sz="1100" b="0" kern="1200"/>
            <a:t>シートと同じです。</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0</xdr:colOff>
          <xdr:row>20</xdr:row>
          <xdr:rowOff>0</xdr:rowOff>
        </xdr:from>
        <xdr:to>
          <xdr:col>5</xdr:col>
          <xdr:colOff>0</xdr:colOff>
          <xdr:row>21</xdr:row>
          <xdr:rowOff>0</xdr:rowOff>
        </xdr:to>
        <xdr:sp macro="" textlink="">
          <xdr:nvSpPr>
            <xdr:cNvPr id="9217" name="Check Box 1" hidden="1">
              <a:extLst>
                <a:ext uri="{63B3BB69-23CF-44E3-9099-C40C66FF867C}">
                  <a14:compatExt spid="_x0000_s9217"/>
                </a:ext>
                <a:ext uri="{FF2B5EF4-FFF2-40B4-BE49-F238E27FC236}">
                  <a16:creationId xmlns:a16="http://schemas.microsoft.com/office/drawing/2014/main" id="{00000000-0008-0000-0100-000001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20</xdr:row>
          <xdr:rowOff>0</xdr:rowOff>
        </xdr:from>
        <xdr:to>
          <xdr:col>6</xdr:col>
          <xdr:colOff>0</xdr:colOff>
          <xdr:row>21</xdr:row>
          <xdr:rowOff>0</xdr:rowOff>
        </xdr:to>
        <xdr:sp macro="" textlink="">
          <xdr:nvSpPr>
            <xdr:cNvPr id="9218" name="Check Box 2" hidden="1">
              <a:extLst>
                <a:ext uri="{63B3BB69-23CF-44E3-9099-C40C66FF867C}">
                  <a14:compatExt spid="_x0000_s9218"/>
                </a:ext>
                <a:ext uri="{FF2B5EF4-FFF2-40B4-BE49-F238E27FC236}">
                  <a16:creationId xmlns:a16="http://schemas.microsoft.com/office/drawing/2014/main" id="{00000000-0008-0000-0100-000002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0</xdr:colOff>
          <xdr:row>21</xdr:row>
          <xdr:rowOff>0</xdr:rowOff>
        </xdr:to>
        <xdr:sp macro="" textlink="">
          <xdr:nvSpPr>
            <xdr:cNvPr id="9219" name="Check Box 3" hidden="1">
              <a:extLst>
                <a:ext uri="{63B3BB69-23CF-44E3-9099-C40C66FF867C}">
                  <a14:compatExt spid="_x0000_s9219"/>
                </a:ext>
                <a:ext uri="{FF2B5EF4-FFF2-40B4-BE49-F238E27FC236}">
                  <a16:creationId xmlns:a16="http://schemas.microsoft.com/office/drawing/2014/main" id="{00000000-0008-0000-0100-000003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20</xdr:row>
          <xdr:rowOff>990600</xdr:rowOff>
        </xdr:from>
        <xdr:to>
          <xdr:col>5</xdr:col>
          <xdr:colOff>0</xdr:colOff>
          <xdr:row>22</xdr:row>
          <xdr:rowOff>0</xdr:rowOff>
        </xdr:to>
        <xdr:sp macro="" textlink="">
          <xdr:nvSpPr>
            <xdr:cNvPr id="9220" name="Check Box 4" hidden="1">
              <a:extLst>
                <a:ext uri="{63B3BB69-23CF-44E3-9099-C40C66FF867C}">
                  <a14:compatExt spid="_x0000_s9220"/>
                </a:ext>
                <a:ext uri="{FF2B5EF4-FFF2-40B4-BE49-F238E27FC236}">
                  <a16:creationId xmlns:a16="http://schemas.microsoft.com/office/drawing/2014/main" id="{00000000-0008-0000-0100-000004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21</xdr:row>
          <xdr:rowOff>12700</xdr:rowOff>
        </xdr:from>
        <xdr:to>
          <xdr:col>6</xdr:col>
          <xdr:colOff>38100</xdr:colOff>
          <xdr:row>22</xdr:row>
          <xdr:rowOff>12700</xdr:rowOff>
        </xdr:to>
        <xdr:sp macro="" textlink="">
          <xdr:nvSpPr>
            <xdr:cNvPr id="9221" name="Check Box 5" hidden="1">
              <a:extLst>
                <a:ext uri="{63B3BB69-23CF-44E3-9099-C40C66FF867C}">
                  <a14:compatExt spid="_x0000_s9221"/>
                </a:ext>
                <a:ext uri="{FF2B5EF4-FFF2-40B4-BE49-F238E27FC236}">
                  <a16:creationId xmlns:a16="http://schemas.microsoft.com/office/drawing/2014/main" id="{00000000-0008-0000-0100-000005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660400</xdr:colOff>
          <xdr:row>21</xdr:row>
          <xdr:rowOff>0</xdr:rowOff>
        </xdr:from>
        <xdr:to>
          <xdr:col>7</xdr:col>
          <xdr:colOff>0</xdr:colOff>
          <xdr:row>22</xdr:row>
          <xdr:rowOff>0</xdr:rowOff>
        </xdr:to>
        <xdr:sp macro="" textlink="">
          <xdr:nvSpPr>
            <xdr:cNvPr id="9222" name="Check Box 6" hidden="1">
              <a:extLst>
                <a:ext uri="{63B3BB69-23CF-44E3-9099-C40C66FF867C}">
                  <a14:compatExt spid="_x0000_s9222"/>
                </a:ext>
                <a:ext uri="{FF2B5EF4-FFF2-40B4-BE49-F238E27FC236}">
                  <a16:creationId xmlns:a16="http://schemas.microsoft.com/office/drawing/2014/main" id="{00000000-0008-0000-0100-000006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22</xdr:row>
          <xdr:rowOff>0</xdr:rowOff>
        </xdr:from>
        <xdr:to>
          <xdr:col>5</xdr:col>
          <xdr:colOff>0</xdr:colOff>
          <xdr:row>23</xdr:row>
          <xdr:rowOff>0</xdr:rowOff>
        </xdr:to>
        <xdr:sp macro="" textlink="">
          <xdr:nvSpPr>
            <xdr:cNvPr id="9223" name="Check Box 7" hidden="1">
              <a:extLst>
                <a:ext uri="{63B3BB69-23CF-44E3-9099-C40C66FF867C}">
                  <a14:compatExt spid="_x0000_s9223"/>
                </a:ext>
                <a:ext uri="{FF2B5EF4-FFF2-40B4-BE49-F238E27FC236}">
                  <a16:creationId xmlns:a16="http://schemas.microsoft.com/office/drawing/2014/main" id="{00000000-0008-0000-0100-000007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0</xdr:colOff>
          <xdr:row>23</xdr:row>
          <xdr:rowOff>0</xdr:rowOff>
        </xdr:to>
        <xdr:sp macro="" textlink="">
          <xdr:nvSpPr>
            <xdr:cNvPr id="9224" name="Check Box 8" hidden="1">
              <a:extLst>
                <a:ext uri="{63B3BB69-23CF-44E3-9099-C40C66FF867C}">
                  <a14:compatExt spid="_x0000_s9224"/>
                </a:ext>
                <a:ext uri="{FF2B5EF4-FFF2-40B4-BE49-F238E27FC236}">
                  <a16:creationId xmlns:a16="http://schemas.microsoft.com/office/drawing/2014/main" id="{00000000-0008-0000-0100-000008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22</xdr:row>
          <xdr:rowOff>0</xdr:rowOff>
        </xdr:from>
        <xdr:to>
          <xdr:col>7</xdr:col>
          <xdr:colOff>0</xdr:colOff>
          <xdr:row>23</xdr:row>
          <xdr:rowOff>0</xdr:rowOff>
        </xdr:to>
        <xdr:sp macro="" textlink="">
          <xdr:nvSpPr>
            <xdr:cNvPr id="9225" name="Check Box 9" hidden="1">
              <a:extLst>
                <a:ext uri="{63B3BB69-23CF-44E3-9099-C40C66FF867C}">
                  <a14:compatExt spid="_x0000_s9225"/>
                </a:ext>
                <a:ext uri="{FF2B5EF4-FFF2-40B4-BE49-F238E27FC236}">
                  <a16:creationId xmlns:a16="http://schemas.microsoft.com/office/drawing/2014/main" id="{00000000-0008-0000-0100-000009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12700</xdr:colOff>
          <xdr:row>24</xdr:row>
          <xdr:rowOff>38100</xdr:rowOff>
        </xdr:from>
        <xdr:to>
          <xdr:col>4</xdr:col>
          <xdr:colOff>673100</xdr:colOff>
          <xdr:row>26</xdr:row>
          <xdr:rowOff>12700</xdr:rowOff>
        </xdr:to>
        <xdr:sp macro="" textlink="">
          <xdr:nvSpPr>
            <xdr:cNvPr id="9226" name="Check Box 10" hidden="1">
              <a:extLst>
                <a:ext uri="{63B3BB69-23CF-44E3-9099-C40C66FF867C}">
                  <a14:compatExt spid="_x0000_s9226"/>
                </a:ext>
                <a:ext uri="{FF2B5EF4-FFF2-40B4-BE49-F238E27FC236}">
                  <a16:creationId xmlns:a16="http://schemas.microsoft.com/office/drawing/2014/main" id="{00000000-0008-0000-0100-00000A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23</xdr:row>
          <xdr:rowOff>241300</xdr:rowOff>
        </xdr:from>
        <xdr:to>
          <xdr:col>6</xdr:col>
          <xdr:colOff>0</xdr:colOff>
          <xdr:row>26</xdr:row>
          <xdr:rowOff>0</xdr:rowOff>
        </xdr:to>
        <xdr:sp macro="" textlink="">
          <xdr:nvSpPr>
            <xdr:cNvPr id="9227" name="Check Box 11" hidden="1">
              <a:extLst>
                <a:ext uri="{63B3BB69-23CF-44E3-9099-C40C66FF867C}">
                  <a14:compatExt spid="_x0000_s9227"/>
                </a:ext>
                <a:ext uri="{FF2B5EF4-FFF2-40B4-BE49-F238E27FC236}">
                  <a16:creationId xmlns:a16="http://schemas.microsoft.com/office/drawing/2014/main" id="{00000000-0008-0000-0100-00000B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7</xdr:col>
          <xdr:colOff>0</xdr:colOff>
          <xdr:row>26</xdr:row>
          <xdr:rowOff>25400</xdr:rowOff>
        </xdr:to>
        <xdr:sp macro="" textlink="">
          <xdr:nvSpPr>
            <xdr:cNvPr id="9228" name="Check Box 12" hidden="1">
              <a:extLst>
                <a:ext uri="{63B3BB69-23CF-44E3-9099-C40C66FF867C}">
                  <a14:compatExt spid="_x0000_s9228"/>
                </a:ext>
                <a:ext uri="{FF2B5EF4-FFF2-40B4-BE49-F238E27FC236}">
                  <a16:creationId xmlns:a16="http://schemas.microsoft.com/office/drawing/2014/main" id="{00000000-0008-0000-0100-00000C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26</xdr:row>
          <xdr:rowOff>0</xdr:rowOff>
        </xdr:from>
        <xdr:to>
          <xdr:col>5</xdr:col>
          <xdr:colOff>0</xdr:colOff>
          <xdr:row>27</xdr:row>
          <xdr:rowOff>0</xdr:rowOff>
        </xdr:to>
        <xdr:sp macro="" textlink="">
          <xdr:nvSpPr>
            <xdr:cNvPr id="9229" name="Check Box 13" hidden="1">
              <a:extLst>
                <a:ext uri="{63B3BB69-23CF-44E3-9099-C40C66FF867C}">
                  <a14:compatExt spid="_x0000_s9229"/>
                </a:ext>
                <a:ext uri="{FF2B5EF4-FFF2-40B4-BE49-F238E27FC236}">
                  <a16:creationId xmlns:a16="http://schemas.microsoft.com/office/drawing/2014/main" id="{00000000-0008-0000-0100-00000D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26</xdr:row>
          <xdr:rowOff>0</xdr:rowOff>
        </xdr:from>
        <xdr:to>
          <xdr:col>6</xdr:col>
          <xdr:colOff>0</xdr:colOff>
          <xdr:row>27</xdr:row>
          <xdr:rowOff>12700</xdr:rowOff>
        </xdr:to>
        <xdr:sp macro="" textlink="">
          <xdr:nvSpPr>
            <xdr:cNvPr id="9230" name="Check Box 14" hidden="1">
              <a:extLst>
                <a:ext uri="{63B3BB69-23CF-44E3-9099-C40C66FF867C}">
                  <a14:compatExt spid="_x0000_s9230"/>
                </a:ext>
                <a:ext uri="{FF2B5EF4-FFF2-40B4-BE49-F238E27FC236}">
                  <a16:creationId xmlns:a16="http://schemas.microsoft.com/office/drawing/2014/main" id="{00000000-0008-0000-0100-00000E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0</xdr:colOff>
          <xdr:row>27</xdr:row>
          <xdr:rowOff>0</xdr:rowOff>
        </xdr:to>
        <xdr:sp macro="" textlink="">
          <xdr:nvSpPr>
            <xdr:cNvPr id="9231" name="Check Box 15" hidden="1">
              <a:extLst>
                <a:ext uri="{63B3BB69-23CF-44E3-9099-C40C66FF867C}">
                  <a14:compatExt spid="_x0000_s9231"/>
                </a:ext>
                <a:ext uri="{FF2B5EF4-FFF2-40B4-BE49-F238E27FC236}">
                  <a16:creationId xmlns:a16="http://schemas.microsoft.com/office/drawing/2014/main" id="{00000000-0008-0000-0100-00000F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27</xdr:row>
          <xdr:rowOff>0</xdr:rowOff>
        </xdr:from>
        <xdr:to>
          <xdr:col>5</xdr:col>
          <xdr:colOff>0</xdr:colOff>
          <xdr:row>27</xdr:row>
          <xdr:rowOff>228600</xdr:rowOff>
        </xdr:to>
        <xdr:sp macro="" textlink="">
          <xdr:nvSpPr>
            <xdr:cNvPr id="9232" name="Check Box 16" hidden="1">
              <a:extLst>
                <a:ext uri="{63B3BB69-23CF-44E3-9099-C40C66FF867C}">
                  <a14:compatExt spid="_x0000_s9232"/>
                </a:ext>
                <a:ext uri="{FF2B5EF4-FFF2-40B4-BE49-F238E27FC236}">
                  <a16:creationId xmlns:a16="http://schemas.microsoft.com/office/drawing/2014/main" id="{00000000-0008-0000-0100-000010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0</xdr:colOff>
          <xdr:row>27</xdr:row>
          <xdr:rowOff>228600</xdr:rowOff>
        </xdr:to>
        <xdr:sp macro="" textlink="">
          <xdr:nvSpPr>
            <xdr:cNvPr id="9233" name="Check Box 17" hidden="1">
              <a:extLst>
                <a:ext uri="{63B3BB69-23CF-44E3-9099-C40C66FF867C}">
                  <a14:compatExt spid="_x0000_s9233"/>
                </a:ext>
                <a:ext uri="{FF2B5EF4-FFF2-40B4-BE49-F238E27FC236}">
                  <a16:creationId xmlns:a16="http://schemas.microsoft.com/office/drawing/2014/main" id="{00000000-0008-0000-0100-000011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7</xdr:col>
          <xdr:colOff>0</xdr:colOff>
          <xdr:row>27</xdr:row>
          <xdr:rowOff>228600</xdr:rowOff>
        </xdr:to>
        <xdr:sp macro="" textlink="">
          <xdr:nvSpPr>
            <xdr:cNvPr id="9234" name="Check Box 18" hidden="1">
              <a:extLst>
                <a:ext uri="{63B3BB69-23CF-44E3-9099-C40C66FF867C}">
                  <a14:compatExt spid="_x0000_s9234"/>
                </a:ext>
                <a:ext uri="{FF2B5EF4-FFF2-40B4-BE49-F238E27FC236}">
                  <a16:creationId xmlns:a16="http://schemas.microsoft.com/office/drawing/2014/main" id="{00000000-0008-0000-0100-000012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28</xdr:row>
          <xdr:rowOff>0</xdr:rowOff>
        </xdr:from>
        <xdr:to>
          <xdr:col>5</xdr:col>
          <xdr:colOff>0</xdr:colOff>
          <xdr:row>29</xdr:row>
          <xdr:rowOff>0</xdr:rowOff>
        </xdr:to>
        <xdr:sp macro="" textlink="">
          <xdr:nvSpPr>
            <xdr:cNvPr id="9235" name="Check Box 19" hidden="1">
              <a:extLst>
                <a:ext uri="{63B3BB69-23CF-44E3-9099-C40C66FF867C}">
                  <a14:compatExt spid="_x0000_s9235"/>
                </a:ext>
                <a:ext uri="{FF2B5EF4-FFF2-40B4-BE49-F238E27FC236}">
                  <a16:creationId xmlns:a16="http://schemas.microsoft.com/office/drawing/2014/main" id="{00000000-0008-0000-0100-000013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28</xdr:row>
          <xdr:rowOff>0</xdr:rowOff>
        </xdr:from>
        <xdr:to>
          <xdr:col>6</xdr:col>
          <xdr:colOff>0</xdr:colOff>
          <xdr:row>29</xdr:row>
          <xdr:rowOff>0</xdr:rowOff>
        </xdr:to>
        <xdr:sp macro="" textlink="">
          <xdr:nvSpPr>
            <xdr:cNvPr id="9236" name="Check Box 20" hidden="1">
              <a:extLst>
                <a:ext uri="{63B3BB69-23CF-44E3-9099-C40C66FF867C}">
                  <a14:compatExt spid="_x0000_s9236"/>
                </a:ext>
                <a:ext uri="{FF2B5EF4-FFF2-40B4-BE49-F238E27FC236}">
                  <a16:creationId xmlns:a16="http://schemas.microsoft.com/office/drawing/2014/main" id="{00000000-0008-0000-0100-000014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0</xdr:colOff>
          <xdr:row>29</xdr:row>
          <xdr:rowOff>0</xdr:rowOff>
        </xdr:to>
        <xdr:sp macro="" textlink="">
          <xdr:nvSpPr>
            <xdr:cNvPr id="9237" name="Check Box 21" hidden="1">
              <a:extLst>
                <a:ext uri="{63B3BB69-23CF-44E3-9099-C40C66FF867C}">
                  <a14:compatExt spid="_x0000_s9237"/>
                </a:ext>
                <a:ext uri="{FF2B5EF4-FFF2-40B4-BE49-F238E27FC236}">
                  <a16:creationId xmlns:a16="http://schemas.microsoft.com/office/drawing/2014/main" id="{00000000-0008-0000-0100-000015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29</xdr:row>
          <xdr:rowOff>0</xdr:rowOff>
        </xdr:from>
        <xdr:to>
          <xdr:col>5</xdr:col>
          <xdr:colOff>0</xdr:colOff>
          <xdr:row>30</xdr:row>
          <xdr:rowOff>0</xdr:rowOff>
        </xdr:to>
        <xdr:sp macro="" textlink="">
          <xdr:nvSpPr>
            <xdr:cNvPr id="9238" name="Check Box 22" hidden="1">
              <a:extLst>
                <a:ext uri="{63B3BB69-23CF-44E3-9099-C40C66FF867C}">
                  <a14:compatExt spid="_x0000_s9238"/>
                </a:ext>
                <a:ext uri="{FF2B5EF4-FFF2-40B4-BE49-F238E27FC236}">
                  <a16:creationId xmlns:a16="http://schemas.microsoft.com/office/drawing/2014/main" id="{00000000-0008-0000-0100-000016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0</xdr:colOff>
          <xdr:row>30</xdr:row>
          <xdr:rowOff>0</xdr:rowOff>
        </xdr:to>
        <xdr:sp macro="" textlink="">
          <xdr:nvSpPr>
            <xdr:cNvPr id="9239" name="Check Box 23" hidden="1">
              <a:extLst>
                <a:ext uri="{63B3BB69-23CF-44E3-9099-C40C66FF867C}">
                  <a14:compatExt spid="_x0000_s9239"/>
                </a:ext>
                <a:ext uri="{FF2B5EF4-FFF2-40B4-BE49-F238E27FC236}">
                  <a16:creationId xmlns:a16="http://schemas.microsoft.com/office/drawing/2014/main" id="{00000000-0008-0000-0100-000017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0</xdr:colOff>
          <xdr:row>30</xdr:row>
          <xdr:rowOff>0</xdr:rowOff>
        </xdr:to>
        <xdr:sp macro="" textlink="">
          <xdr:nvSpPr>
            <xdr:cNvPr id="9240" name="Check Box 24" hidden="1">
              <a:extLst>
                <a:ext uri="{63B3BB69-23CF-44E3-9099-C40C66FF867C}">
                  <a14:compatExt spid="_x0000_s9240"/>
                </a:ext>
                <a:ext uri="{FF2B5EF4-FFF2-40B4-BE49-F238E27FC236}">
                  <a16:creationId xmlns:a16="http://schemas.microsoft.com/office/drawing/2014/main" id="{00000000-0008-0000-0100-000018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30</xdr:row>
          <xdr:rowOff>0</xdr:rowOff>
        </xdr:from>
        <xdr:to>
          <xdr:col>5</xdr:col>
          <xdr:colOff>0</xdr:colOff>
          <xdr:row>31</xdr:row>
          <xdr:rowOff>0</xdr:rowOff>
        </xdr:to>
        <xdr:sp macro="" textlink="">
          <xdr:nvSpPr>
            <xdr:cNvPr id="9241" name="Check Box 25" hidden="1">
              <a:extLst>
                <a:ext uri="{63B3BB69-23CF-44E3-9099-C40C66FF867C}">
                  <a14:compatExt spid="_x0000_s9241"/>
                </a:ext>
                <a:ext uri="{FF2B5EF4-FFF2-40B4-BE49-F238E27FC236}">
                  <a16:creationId xmlns:a16="http://schemas.microsoft.com/office/drawing/2014/main" id="{00000000-0008-0000-0100-000019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30</xdr:row>
          <xdr:rowOff>0</xdr:rowOff>
        </xdr:from>
        <xdr:to>
          <xdr:col>6</xdr:col>
          <xdr:colOff>0</xdr:colOff>
          <xdr:row>31</xdr:row>
          <xdr:rowOff>0</xdr:rowOff>
        </xdr:to>
        <xdr:sp macro="" textlink="">
          <xdr:nvSpPr>
            <xdr:cNvPr id="9242" name="Check Box 26" hidden="1">
              <a:extLst>
                <a:ext uri="{63B3BB69-23CF-44E3-9099-C40C66FF867C}">
                  <a14:compatExt spid="_x0000_s9242"/>
                </a:ext>
                <a:ext uri="{FF2B5EF4-FFF2-40B4-BE49-F238E27FC236}">
                  <a16:creationId xmlns:a16="http://schemas.microsoft.com/office/drawing/2014/main" id="{00000000-0008-0000-0100-00001A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0</xdr:colOff>
          <xdr:row>31</xdr:row>
          <xdr:rowOff>0</xdr:rowOff>
        </xdr:to>
        <xdr:sp macro="" textlink="">
          <xdr:nvSpPr>
            <xdr:cNvPr id="9243" name="Check Box 27" hidden="1">
              <a:extLst>
                <a:ext uri="{63B3BB69-23CF-44E3-9099-C40C66FF867C}">
                  <a14:compatExt spid="_x0000_s9243"/>
                </a:ext>
                <a:ext uri="{FF2B5EF4-FFF2-40B4-BE49-F238E27FC236}">
                  <a16:creationId xmlns:a16="http://schemas.microsoft.com/office/drawing/2014/main" id="{00000000-0008-0000-0100-00001B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31</xdr:row>
          <xdr:rowOff>0</xdr:rowOff>
        </xdr:from>
        <xdr:to>
          <xdr:col>5</xdr:col>
          <xdr:colOff>0</xdr:colOff>
          <xdr:row>32</xdr:row>
          <xdr:rowOff>0</xdr:rowOff>
        </xdr:to>
        <xdr:sp macro="" textlink="">
          <xdr:nvSpPr>
            <xdr:cNvPr id="9244" name="Check Box 28" hidden="1">
              <a:extLst>
                <a:ext uri="{63B3BB69-23CF-44E3-9099-C40C66FF867C}">
                  <a14:compatExt spid="_x0000_s9244"/>
                </a:ext>
                <a:ext uri="{FF2B5EF4-FFF2-40B4-BE49-F238E27FC236}">
                  <a16:creationId xmlns:a16="http://schemas.microsoft.com/office/drawing/2014/main" id="{00000000-0008-0000-0100-00001C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0</xdr:colOff>
          <xdr:row>32</xdr:row>
          <xdr:rowOff>0</xdr:rowOff>
        </xdr:to>
        <xdr:sp macro="" textlink="">
          <xdr:nvSpPr>
            <xdr:cNvPr id="9245" name="Check Box 29" hidden="1">
              <a:extLst>
                <a:ext uri="{63B3BB69-23CF-44E3-9099-C40C66FF867C}">
                  <a14:compatExt spid="_x0000_s9245"/>
                </a:ext>
                <a:ext uri="{FF2B5EF4-FFF2-40B4-BE49-F238E27FC236}">
                  <a16:creationId xmlns:a16="http://schemas.microsoft.com/office/drawing/2014/main" id="{00000000-0008-0000-0100-00001D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0</xdr:colOff>
          <xdr:row>32</xdr:row>
          <xdr:rowOff>0</xdr:rowOff>
        </xdr:to>
        <xdr:sp macro="" textlink="">
          <xdr:nvSpPr>
            <xdr:cNvPr id="9246" name="Check Box 30" hidden="1">
              <a:extLst>
                <a:ext uri="{63B3BB69-23CF-44E3-9099-C40C66FF867C}">
                  <a14:compatExt spid="_x0000_s9246"/>
                </a:ext>
                <a:ext uri="{FF2B5EF4-FFF2-40B4-BE49-F238E27FC236}">
                  <a16:creationId xmlns:a16="http://schemas.microsoft.com/office/drawing/2014/main" id="{00000000-0008-0000-0100-00001E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32</xdr:row>
          <xdr:rowOff>0</xdr:rowOff>
        </xdr:from>
        <xdr:to>
          <xdr:col>5</xdr:col>
          <xdr:colOff>0</xdr:colOff>
          <xdr:row>33</xdr:row>
          <xdr:rowOff>0</xdr:rowOff>
        </xdr:to>
        <xdr:sp macro="" textlink="">
          <xdr:nvSpPr>
            <xdr:cNvPr id="9247" name="Check Box 31" hidden="1">
              <a:extLst>
                <a:ext uri="{63B3BB69-23CF-44E3-9099-C40C66FF867C}">
                  <a14:compatExt spid="_x0000_s9247"/>
                </a:ext>
                <a:ext uri="{FF2B5EF4-FFF2-40B4-BE49-F238E27FC236}">
                  <a16:creationId xmlns:a16="http://schemas.microsoft.com/office/drawing/2014/main" id="{00000000-0008-0000-0100-00001F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0</xdr:colOff>
          <xdr:row>33</xdr:row>
          <xdr:rowOff>0</xdr:rowOff>
        </xdr:to>
        <xdr:sp macro="" textlink="">
          <xdr:nvSpPr>
            <xdr:cNvPr id="9248" name="Check Box 32" hidden="1">
              <a:extLst>
                <a:ext uri="{63B3BB69-23CF-44E3-9099-C40C66FF867C}">
                  <a14:compatExt spid="_x0000_s9248"/>
                </a:ext>
                <a:ext uri="{FF2B5EF4-FFF2-40B4-BE49-F238E27FC236}">
                  <a16:creationId xmlns:a16="http://schemas.microsoft.com/office/drawing/2014/main" id="{00000000-0008-0000-0100-000020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0</xdr:colOff>
          <xdr:row>33</xdr:row>
          <xdr:rowOff>0</xdr:rowOff>
        </xdr:to>
        <xdr:sp macro="" textlink="">
          <xdr:nvSpPr>
            <xdr:cNvPr id="9249" name="Check Box 33" hidden="1">
              <a:extLst>
                <a:ext uri="{63B3BB69-23CF-44E3-9099-C40C66FF867C}">
                  <a14:compatExt spid="_x0000_s9249"/>
                </a:ext>
                <a:ext uri="{FF2B5EF4-FFF2-40B4-BE49-F238E27FC236}">
                  <a16:creationId xmlns:a16="http://schemas.microsoft.com/office/drawing/2014/main" id="{00000000-0008-0000-0100-000021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33</xdr:row>
          <xdr:rowOff>0</xdr:rowOff>
        </xdr:from>
        <xdr:to>
          <xdr:col>5</xdr:col>
          <xdr:colOff>0</xdr:colOff>
          <xdr:row>34</xdr:row>
          <xdr:rowOff>0</xdr:rowOff>
        </xdr:to>
        <xdr:sp macro="" textlink="">
          <xdr:nvSpPr>
            <xdr:cNvPr id="9250" name="Check Box 34" hidden="1">
              <a:extLst>
                <a:ext uri="{63B3BB69-23CF-44E3-9099-C40C66FF867C}">
                  <a14:compatExt spid="_x0000_s9250"/>
                </a:ext>
                <a:ext uri="{FF2B5EF4-FFF2-40B4-BE49-F238E27FC236}">
                  <a16:creationId xmlns:a16="http://schemas.microsoft.com/office/drawing/2014/main" id="{00000000-0008-0000-0100-000022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33</xdr:row>
          <xdr:rowOff>0</xdr:rowOff>
        </xdr:from>
        <xdr:to>
          <xdr:col>7</xdr:col>
          <xdr:colOff>0</xdr:colOff>
          <xdr:row>34</xdr:row>
          <xdr:rowOff>0</xdr:rowOff>
        </xdr:to>
        <xdr:sp macro="" textlink="">
          <xdr:nvSpPr>
            <xdr:cNvPr id="9251" name="Check Box 35" hidden="1">
              <a:extLst>
                <a:ext uri="{63B3BB69-23CF-44E3-9099-C40C66FF867C}">
                  <a14:compatExt spid="_x0000_s9251"/>
                </a:ext>
                <a:ext uri="{FF2B5EF4-FFF2-40B4-BE49-F238E27FC236}">
                  <a16:creationId xmlns:a16="http://schemas.microsoft.com/office/drawing/2014/main" id="{00000000-0008-0000-0100-000023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0</xdr:colOff>
          <xdr:row>34</xdr:row>
          <xdr:rowOff>0</xdr:rowOff>
        </xdr:to>
        <xdr:sp macro="" textlink="">
          <xdr:nvSpPr>
            <xdr:cNvPr id="9252" name="Check Box 36" hidden="1">
              <a:extLst>
                <a:ext uri="{63B3BB69-23CF-44E3-9099-C40C66FF867C}">
                  <a14:compatExt spid="_x0000_s9252"/>
                </a:ext>
                <a:ext uri="{FF2B5EF4-FFF2-40B4-BE49-F238E27FC236}">
                  <a16:creationId xmlns:a16="http://schemas.microsoft.com/office/drawing/2014/main" id="{00000000-0008-0000-0100-000024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34</xdr:row>
          <xdr:rowOff>0</xdr:rowOff>
        </xdr:from>
        <xdr:to>
          <xdr:col>5</xdr:col>
          <xdr:colOff>0</xdr:colOff>
          <xdr:row>35</xdr:row>
          <xdr:rowOff>0</xdr:rowOff>
        </xdr:to>
        <xdr:sp macro="" textlink="">
          <xdr:nvSpPr>
            <xdr:cNvPr id="9253" name="Check Box 37" hidden="1">
              <a:extLst>
                <a:ext uri="{63B3BB69-23CF-44E3-9099-C40C66FF867C}">
                  <a14:compatExt spid="_x0000_s9253"/>
                </a:ext>
                <a:ext uri="{FF2B5EF4-FFF2-40B4-BE49-F238E27FC236}">
                  <a16:creationId xmlns:a16="http://schemas.microsoft.com/office/drawing/2014/main" id="{00000000-0008-0000-0100-000025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34</xdr:row>
          <xdr:rowOff>0</xdr:rowOff>
        </xdr:from>
        <xdr:to>
          <xdr:col>6</xdr:col>
          <xdr:colOff>0</xdr:colOff>
          <xdr:row>35</xdr:row>
          <xdr:rowOff>0</xdr:rowOff>
        </xdr:to>
        <xdr:sp macro="" textlink="">
          <xdr:nvSpPr>
            <xdr:cNvPr id="9254" name="Check Box 38" hidden="1">
              <a:extLst>
                <a:ext uri="{63B3BB69-23CF-44E3-9099-C40C66FF867C}">
                  <a14:compatExt spid="_x0000_s9254"/>
                </a:ext>
                <a:ext uri="{FF2B5EF4-FFF2-40B4-BE49-F238E27FC236}">
                  <a16:creationId xmlns:a16="http://schemas.microsoft.com/office/drawing/2014/main" id="{00000000-0008-0000-0100-000026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0</xdr:colOff>
          <xdr:row>35</xdr:row>
          <xdr:rowOff>0</xdr:rowOff>
        </xdr:to>
        <xdr:sp macro="" textlink="">
          <xdr:nvSpPr>
            <xdr:cNvPr id="9255" name="Check Box 39" hidden="1">
              <a:extLst>
                <a:ext uri="{63B3BB69-23CF-44E3-9099-C40C66FF867C}">
                  <a14:compatExt spid="_x0000_s9255"/>
                </a:ext>
                <a:ext uri="{FF2B5EF4-FFF2-40B4-BE49-F238E27FC236}">
                  <a16:creationId xmlns:a16="http://schemas.microsoft.com/office/drawing/2014/main" id="{00000000-0008-0000-0100-000027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35</xdr:row>
          <xdr:rowOff>0</xdr:rowOff>
        </xdr:from>
        <xdr:to>
          <xdr:col>5</xdr:col>
          <xdr:colOff>0</xdr:colOff>
          <xdr:row>36</xdr:row>
          <xdr:rowOff>0</xdr:rowOff>
        </xdr:to>
        <xdr:sp macro="" textlink="">
          <xdr:nvSpPr>
            <xdr:cNvPr id="9256" name="Check Box 40" hidden="1">
              <a:extLst>
                <a:ext uri="{63B3BB69-23CF-44E3-9099-C40C66FF867C}">
                  <a14:compatExt spid="_x0000_s9256"/>
                </a:ext>
                <a:ext uri="{FF2B5EF4-FFF2-40B4-BE49-F238E27FC236}">
                  <a16:creationId xmlns:a16="http://schemas.microsoft.com/office/drawing/2014/main" id="{00000000-0008-0000-0100-000028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0</xdr:colOff>
          <xdr:row>36</xdr:row>
          <xdr:rowOff>0</xdr:rowOff>
        </xdr:to>
        <xdr:sp macro="" textlink="">
          <xdr:nvSpPr>
            <xdr:cNvPr id="9257" name="Check Box 41" hidden="1">
              <a:extLst>
                <a:ext uri="{63B3BB69-23CF-44E3-9099-C40C66FF867C}">
                  <a14:compatExt spid="_x0000_s9257"/>
                </a:ext>
                <a:ext uri="{FF2B5EF4-FFF2-40B4-BE49-F238E27FC236}">
                  <a16:creationId xmlns:a16="http://schemas.microsoft.com/office/drawing/2014/main" id="{00000000-0008-0000-0100-000029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0</xdr:colOff>
          <xdr:row>36</xdr:row>
          <xdr:rowOff>0</xdr:rowOff>
        </xdr:to>
        <xdr:sp macro="" textlink="">
          <xdr:nvSpPr>
            <xdr:cNvPr id="9258" name="Check Box 42" hidden="1">
              <a:extLst>
                <a:ext uri="{63B3BB69-23CF-44E3-9099-C40C66FF867C}">
                  <a14:compatExt spid="_x0000_s9258"/>
                </a:ext>
                <a:ext uri="{FF2B5EF4-FFF2-40B4-BE49-F238E27FC236}">
                  <a16:creationId xmlns:a16="http://schemas.microsoft.com/office/drawing/2014/main" id="{00000000-0008-0000-0100-00002A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35</xdr:row>
          <xdr:rowOff>228600</xdr:rowOff>
        </xdr:from>
        <xdr:to>
          <xdr:col>5</xdr:col>
          <xdr:colOff>0</xdr:colOff>
          <xdr:row>37</xdr:row>
          <xdr:rowOff>0</xdr:rowOff>
        </xdr:to>
        <xdr:sp macro="" textlink="">
          <xdr:nvSpPr>
            <xdr:cNvPr id="9259" name="Check Box 43" hidden="1">
              <a:extLst>
                <a:ext uri="{63B3BB69-23CF-44E3-9099-C40C66FF867C}">
                  <a14:compatExt spid="_x0000_s9259"/>
                </a:ext>
                <a:ext uri="{FF2B5EF4-FFF2-40B4-BE49-F238E27FC236}">
                  <a16:creationId xmlns:a16="http://schemas.microsoft.com/office/drawing/2014/main" id="{00000000-0008-0000-0100-00002B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228600</xdr:rowOff>
        </xdr:from>
        <xdr:to>
          <xdr:col>6</xdr:col>
          <xdr:colOff>0</xdr:colOff>
          <xdr:row>37</xdr:row>
          <xdr:rowOff>0</xdr:rowOff>
        </xdr:to>
        <xdr:sp macro="" textlink="">
          <xdr:nvSpPr>
            <xdr:cNvPr id="9260" name="Check Box 44" hidden="1">
              <a:extLst>
                <a:ext uri="{63B3BB69-23CF-44E3-9099-C40C66FF867C}">
                  <a14:compatExt spid="_x0000_s9260"/>
                </a:ext>
                <a:ext uri="{FF2B5EF4-FFF2-40B4-BE49-F238E27FC236}">
                  <a16:creationId xmlns:a16="http://schemas.microsoft.com/office/drawing/2014/main" id="{00000000-0008-0000-0100-00002C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228600</xdr:rowOff>
        </xdr:from>
        <xdr:to>
          <xdr:col>7</xdr:col>
          <xdr:colOff>0</xdr:colOff>
          <xdr:row>37</xdr:row>
          <xdr:rowOff>0</xdr:rowOff>
        </xdr:to>
        <xdr:sp macro="" textlink="">
          <xdr:nvSpPr>
            <xdr:cNvPr id="9261" name="Check Box 45" hidden="1">
              <a:extLst>
                <a:ext uri="{63B3BB69-23CF-44E3-9099-C40C66FF867C}">
                  <a14:compatExt spid="_x0000_s9261"/>
                </a:ext>
                <a:ext uri="{FF2B5EF4-FFF2-40B4-BE49-F238E27FC236}">
                  <a16:creationId xmlns:a16="http://schemas.microsoft.com/office/drawing/2014/main" id="{00000000-0008-0000-0100-00002D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37</xdr:row>
          <xdr:rowOff>0</xdr:rowOff>
        </xdr:from>
        <xdr:to>
          <xdr:col>5</xdr:col>
          <xdr:colOff>0</xdr:colOff>
          <xdr:row>38</xdr:row>
          <xdr:rowOff>0</xdr:rowOff>
        </xdr:to>
        <xdr:sp macro="" textlink="">
          <xdr:nvSpPr>
            <xdr:cNvPr id="9262" name="Check Box 46" hidden="1">
              <a:extLst>
                <a:ext uri="{63B3BB69-23CF-44E3-9099-C40C66FF867C}">
                  <a14:compatExt spid="_x0000_s9262"/>
                </a:ext>
                <a:ext uri="{FF2B5EF4-FFF2-40B4-BE49-F238E27FC236}">
                  <a16:creationId xmlns:a16="http://schemas.microsoft.com/office/drawing/2014/main" id="{00000000-0008-0000-0100-00002E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37</xdr:row>
          <xdr:rowOff>0</xdr:rowOff>
        </xdr:from>
        <xdr:to>
          <xdr:col>6</xdr:col>
          <xdr:colOff>0</xdr:colOff>
          <xdr:row>38</xdr:row>
          <xdr:rowOff>0</xdr:rowOff>
        </xdr:to>
        <xdr:sp macro="" textlink="">
          <xdr:nvSpPr>
            <xdr:cNvPr id="9263" name="Check Box 47" hidden="1">
              <a:extLst>
                <a:ext uri="{63B3BB69-23CF-44E3-9099-C40C66FF867C}">
                  <a14:compatExt spid="_x0000_s9263"/>
                </a:ext>
                <a:ext uri="{FF2B5EF4-FFF2-40B4-BE49-F238E27FC236}">
                  <a16:creationId xmlns:a16="http://schemas.microsoft.com/office/drawing/2014/main" id="{00000000-0008-0000-0100-00002F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0</xdr:colOff>
          <xdr:row>38</xdr:row>
          <xdr:rowOff>0</xdr:rowOff>
        </xdr:to>
        <xdr:sp macro="" textlink="">
          <xdr:nvSpPr>
            <xdr:cNvPr id="9264" name="Check Box 48" hidden="1">
              <a:extLst>
                <a:ext uri="{63B3BB69-23CF-44E3-9099-C40C66FF867C}">
                  <a14:compatExt spid="_x0000_s9264"/>
                </a:ext>
                <a:ext uri="{FF2B5EF4-FFF2-40B4-BE49-F238E27FC236}">
                  <a16:creationId xmlns:a16="http://schemas.microsoft.com/office/drawing/2014/main" id="{00000000-0008-0000-0100-000030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685800</xdr:colOff>
          <xdr:row>38</xdr:row>
          <xdr:rowOff>0</xdr:rowOff>
        </xdr:from>
        <xdr:to>
          <xdr:col>6</xdr:col>
          <xdr:colOff>0</xdr:colOff>
          <xdr:row>39</xdr:row>
          <xdr:rowOff>0</xdr:rowOff>
        </xdr:to>
        <xdr:sp macro="" textlink="">
          <xdr:nvSpPr>
            <xdr:cNvPr id="9265" name="Check Box 49" hidden="1">
              <a:extLst>
                <a:ext uri="{63B3BB69-23CF-44E3-9099-C40C66FF867C}">
                  <a14:compatExt spid="_x0000_s9265"/>
                </a:ext>
                <a:ext uri="{FF2B5EF4-FFF2-40B4-BE49-F238E27FC236}">
                  <a16:creationId xmlns:a16="http://schemas.microsoft.com/office/drawing/2014/main" id="{00000000-0008-0000-0100-000031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38</xdr:row>
          <xdr:rowOff>0</xdr:rowOff>
        </xdr:from>
        <xdr:to>
          <xdr:col>5</xdr:col>
          <xdr:colOff>0</xdr:colOff>
          <xdr:row>39</xdr:row>
          <xdr:rowOff>0</xdr:rowOff>
        </xdr:to>
        <xdr:sp macro="" textlink="">
          <xdr:nvSpPr>
            <xdr:cNvPr id="9266" name="Check Box 50" hidden="1">
              <a:extLst>
                <a:ext uri="{63B3BB69-23CF-44E3-9099-C40C66FF867C}">
                  <a14:compatExt spid="_x0000_s9266"/>
                </a:ext>
                <a:ext uri="{FF2B5EF4-FFF2-40B4-BE49-F238E27FC236}">
                  <a16:creationId xmlns:a16="http://schemas.microsoft.com/office/drawing/2014/main" id="{00000000-0008-0000-0100-000032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0</xdr:colOff>
          <xdr:row>39</xdr:row>
          <xdr:rowOff>0</xdr:rowOff>
        </xdr:to>
        <xdr:sp macro="" textlink="">
          <xdr:nvSpPr>
            <xdr:cNvPr id="9267" name="Check Box 51" hidden="1">
              <a:extLst>
                <a:ext uri="{63B3BB69-23CF-44E3-9099-C40C66FF867C}">
                  <a14:compatExt spid="_x0000_s9267"/>
                </a:ext>
                <a:ext uri="{FF2B5EF4-FFF2-40B4-BE49-F238E27FC236}">
                  <a16:creationId xmlns:a16="http://schemas.microsoft.com/office/drawing/2014/main" id="{00000000-0008-0000-0100-000033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41</xdr:row>
          <xdr:rowOff>0</xdr:rowOff>
        </xdr:from>
        <xdr:to>
          <xdr:col>5</xdr:col>
          <xdr:colOff>0</xdr:colOff>
          <xdr:row>42</xdr:row>
          <xdr:rowOff>0</xdr:rowOff>
        </xdr:to>
        <xdr:sp macro="" textlink="">
          <xdr:nvSpPr>
            <xdr:cNvPr id="9268" name="Check Box 52" hidden="1">
              <a:extLst>
                <a:ext uri="{63B3BB69-23CF-44E3-9099-C40C66FF867C}">
                  <a14:compatExt spid="_x0000_s9268"/>
                </a:ext>
                <a:ext uri="{FF2B5EF4-FFF2-40B4-BE49-F238E27FC236}">
                  <a16:creationId xmlns:a16="http://schemas.microsoft.com/office/drawing/2014/main" id="{00000000-0008-0000-0100-000034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6</xdr:col>
          <xdr:colOff>0</xdr:colOff>
          <xdr:row>42</xdr:row>
          <xdr:rowOff>0</xdr:rowOff>
        </xdr:to>
        <xdr:sp macro="" textlink="">
          <xdr:nvSpPr>
            <xdr:cNvPr id="9269" name="Check Box 53" hidden="1">
              <a:extLst>
                <a:ext uri="{63B3BB69-23CF-44E3-9099-C40C66FF867C}">
                  <a14:compatExt spid="_x0000_s9269"/>
                </a:ext>
                <a:ext uri="{FF2B5EF4-FFF2-40B4-BE49-F238E27FC236}">
                  <a16:creationId xmlns:a16="http://schemas.microsoft.com/office/drawing/2014/main" id="{00000000-0008-0000-0100-000035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0</xdr:colOff>
          <xdr:row>42</xdr:row>
          <xdr:rowOff>0</xdr:rowOff>
        </xdr:to>
        <xdr:sp macro="" textlink="">
          <xdr:nvSpPr>
            <xdr:cNvPr id="9270" name="Check Box 54" hidden="1">
              <a:extLst>
                <a:ext uri="{63B3BB69-23CF-44E3-9099-C40C66FF867C}">
                  <a14:compatExt spid="_x0000_s9270"/>
                </a:ext>
                <a:ext uri="{FF2B5EF4-FFF2-40B4-BE49-F238E27FC236}">
                  <a16:creationId xmlns:a16="http://schemas.microsoft.com/office/drawing/2014/main" id="{00000000-0008-0000-0100-000036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41</xdr:row>
          <xdr:rowOff>228600</xdr:rowOff>
        </xdr:from>
        <xdr:to>
          <xdr:col>5</xdr:col>
          <xdr:colOff>0</xdr:colOff>
          <xdr:row>43</xdr:row>
          <xdr:rowOff>0</xdr:rowOff>
        </xdr:to>
        <xdr:sp macro="" textlink="">
          <xdr:nvSpPr>
            <xdr:cNvPr id="9271" name="Check Box 55" hidden="1">
              <a:extLst>
                <a:ext uri="{63B3BB69-23CF-44E3-9099-C40C66FF867C}">
                  <a14:compatExt spid="_x0000_s9271"/>
                </a:ext>
                <a:ext uri="{FF2B5EF4-FFF2-40B4-BE49-F238E27FC236}">
                  <a16:creationId xmlns:a16="http://schemas.microsoft.com/office/drawing/2014/main" id="{00000000-0008-0000-0100-000037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228600</xdr:rowOff>
        </xdr:from>
        <xdr:to>
          <xdr:col>6</xdr:col>
          <xdr:colOff>0</xdr:colOff>
          <xdr:row>43</xdr:row>
          <xdr:rowOff>0</xdr:rowOff>
        </xdr:to>
        <xdr:sp macro="" textlink="">
          <xdr:nvSpPr>
            <xdr:cNvPr id="9272" name="Check Box 56" hidden="1">
              <a:extLst>
                <a:ext uri="{63B3BB69-23CF-44E3-9099-C40C66FF867C}">
                  <a14:compatExt spid="_x0000_s9272"/>
                </a:ext>
                <a:ext uri="{FF2B5EF4-FFF2-40B4-BE49-F238E27FC236}">
                  <a16:creationId xmlns:a16="http://schemas.microsoft.com/office/drawing/2014/main" id="{00000000-0008-0000-0100-000038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228600</xdr:rowOff>
        </xdr:from>
        <xdr:to>
          <xdr:col>7</xdr:col>
          <xdr:colOff>0</xdr:colOff>
          <xdr:row>43</xdr:row>
          <xdr:rowOff>0</xdr:rowOff>
        </xdr:to>
        <xdr:sp macro="" textlink="">
          <xdr:nvSpPr>
            <xdr:cNvPr id="9273" name="Check Box 57" hidden="1">
              <a:extLst>
                <a:ext uri="{63B3BB69-23CF-44E3-9099-C40C66FF867C}">
                  <a14:compatExt spid="_x0000_s9273"/>
                </a:ext>
                <a:ext uri="{FF2B5EF4-FFF2-40B4-BE49-F238E27FC236}">
                  <a16:creationId xmlns:a16="http://schemas.microsoft.com/office/drawing/2014/main" id="{00000000-0008-0000-0100-000039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43</xdr:row>
          <xdr:rowOff>0</xdr:rowOff>
        </xdr:from>
        <xdr:to>
          <xdr:col>5</xdr:col>
          <xdr:colOff>0</xdr:colOff>
          <xdr:row>44</xdr:row>
          <xdr:rowOff>0</xdr:rowOff>
        </xdr:to>
        <xdr:sp macro="" textlink="">
          <xdr:nvSpPr>
            <xdr:cNvPr id="9274" name="Check Box 58" hidden="1">
              <a:extLst>
                <a:ext uri="{63B3BB69-23CF-44E3-9099-C40C66FF867C}">
                  <a14:compatExt spid="_x0000_s9274"/>
                </a:ext>
                <a:ext uri="{FF2B5EF4-FFF2-40B4-BE49-F238E27FC236}">
                  <a16:creationId xmlns:a16="http://schemas.microsoft.com/office/drawing/2014/main" id="{00000000-0008-0000-0100-00003A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0</xdr:colOff>
          <xdr:row>44</xdr:row>
          <xdr:rowOff>0</xdr:rowOff>
        </xdr:to>
        <xdr:sp macro="" textlink="">
          <xdr:nvSpPr>
            <xdr:cNvPr id="9275" name="Check Box 59" hidden="1">
              <a:extLst>
                <a:ext uri="{63B3BB69-23CF-44E3-9099-C40C66FF867C}">
                  <a14:compatExt spid="_x0000_s9275"/>
                </a:ext>
                <a:ext uri="{FF2B5EF4-FFF2-40B4-BE49-F238E27FC236}">
                  <a16:creationId xmlns:a16="http://schemas.microsoft.com/office/drawing/2014/main" id="{00000000-0008-0000-0100-00003B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0</xdr:colOff>
          <xdr:row>44</xdr:row>
          <xdr:rowOff>0</xdr:rowOff>
        </xdr:to>
        <xdr:sp macro="" textlink="">
          <xdr:nvSpPr>
            <xdr:cNvPr id="9276" name="Check Box 60" hidden="1">
              <a:extLst>
                <a:ext uri="{63B3BB69-23CF-44E3-9099-C40C66FF867C}">
                  <a14:compatExt spid="_x0000_s9276"/>
                </a:ext>
                <a:ext uri="{FF2B5EF4-FFF2-40B4-BE49-F238E27FC236}">
                  <a16:creationId xmlns:a16="http://schemas.microsoft.com/office/drawing/2014/main" id="{00000000-0008-0000-0100-00003C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685800</xdr:colOff>
          <xdr:row>46</xdr:row>
          <xdr:rowOff>0</xdr:rowOff>
        </xdr:from>
        <xdr:to>
          <xdr:col>6</xdr:col>
          <xdr:colOff>0</xdr:colOff>
          <xdr:row>47</xdr:row>
          <xdr:rowOff>0</xdr:rowOff>
        </xdr:to>
        <xdr:sp macro="" textlink="">
          <xdr:nvSpPr>
            <xdr:cNvPr id="9277" name="Check Box 61" hidden="1">
              <a:extLst>
                <a:ext uri="{63B3BB69-23CF-44E3-9099-C40C66FF867C}">
                  <a14:compatExt spid="_x0000_s9277"/>
                </a:ext>
                <a:ext uri="{FF2B5EF4-FFF2-40B4-BE49-F238E27FC236}">
                  <a16:creationId xmlns:a16="http://schemas.microsoft.com/office/drawing/2014/main" id="{00000000-0008-0000-0100-00003D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46</xdr:row>
          <xdr:rowOff>0</xdr:rowOff>
        </xdr:from>
        <xdr:to>
          <xdr:col>5</xdr:col>
          <xdr:colOff>0</xdr:colOff>
          <xdr:row>47</xdr:row>
          <xdr:rowOff>0</xdr:rowOff>
        </xdr:to>
        <xdr:sp macro="" textlink="">
          <xdr:nvSpPr>
            <xdr:cNvPr id="9278" name="Check Box 62" hidden="1">
              <a:extLst>
                <a:ext uri="{63B3BB69-23CF-44E3-9099-C40C66FF867C}">
                  <a14:compatExt spid="_x0000_s9278"/>
                </a:ext>
                <a:ext uri="{FF2B5EF4-FFF2-40B4-BE49-F238E27FC236}">
                  <a16:creationId xmlns:a16="http://schemas.microsoft.com/office/drawing/2014/main" id="{00000000-0008-0000-0100-00003E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0</xdr:colOff>
          <xdr:row>47</xdr:row>
          <xdr:rowOff>0</xdr:rowOff>
        </xdr:to>
        <xdr:sp macro="" textlink="">
          <xdr:nvSpPr>
            <xdr:cNvPr id="9279" name="Check Box 63" hidden="1">
              <a:extLst>
                <a:ext uri="{63B3BB69-23CF-44E3-9099-C40C66FF867C}">
                  <a14:compatExt spid="_x0000_s9279"/>
                </a:ext>
                <a:ext uri="{FF2B5EF4-FFF2-40B4-BE49-F238E27FC236}">
                  <a16:creationId xmlns:a16="http://schemas.microsoft.com/office/drawing/2014/main" id="{00000000-0008-0000-0100-00003F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47</xdr:row>
          <xdr:rowOff>0</xdr:rowOff>
        </xdr:from>
        <xdr:to>
          <xdr:col>5</xdr:col>
          <xdr:colOff>0</xdr:colOff>
          <xdr:row>48</xdr:row>
          <xdr:rowOff>0</xdr:rowOff>
        </xdr:to>
        <xdr:sp macro="" textlink="">
          <xdr:nvSpPr>
            <xdr:cNvPr id="9280" name="Check Box 64" hidden="1">
              <a:extLst>
                <a:ext uri="{63B3BB69-23CF-44E3-9099-C40C66FF867C}">
                  <a14:compatExt spid="_x0000_s9280"/>
                </a:ext>
                <a:ext uri="{FF2B5EF4-FFF2-40B4-BE49-F238E27FC236}">
                  <a16:creationId xmlns:a16="http://schemas.microsoft.com/office/drawing/2014/main" id="{00000000-0008-0000-0100-000040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47</xdr:row>
          <xdr:rowOff>0</xdr:rowOff>
        </xdr:from>
        <xdr:to>
          <xdr:col>6</xdr:col>
          <xdr:colOff>0</xdr:colOff>
          <xdr:row>48</xdr:row>
          <xdr:rowOff>0</xdr:rowOff>
        </xdr:to>
        <xdr:sp macro="" textlink="">
          <xdr:nvSpPr>
            <xdr:cNvPr id="9281" name="Check Box 65" hidden="1">
              <a:extLst>
                <a:ext uri="{63B3BB69-23CF-44E3-9099-C40C66FF867C}">
                  <a14:compatExt spid="_x0000_s9281"/>
                </a:ext>
                <a:ext uri="{FF2B5EF4-FFF2-40B4-BE49-F238E27FC236}">
                  <a16:creationId xmlns:a16="http://schemas.microsoft.com/office/drawing/2014/main" id="{00000000-0008-0000-0100-000041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0</xdr:colOff>
          <xdr:row>48</xdr:row>
          <xdr:rowOff>0</xdr:rowOff>
        </xdr:to>
        <xdr:sp macro="" textlink="">
          <xdr:nvSpPr>
            <xdr:cNvPr id="9282" name="Check Box 66" hidden="1">
              <a:extLst>
                <a:ext uri="{63B3BB69-23CF-44E3-9099-C40C66FF867C}">
                  <a14:compatExt spid="_x0000_s9282"/>
                </a:ext>
                <a:ext uri="{FF2B5EF4-FFF2-40B4-BE49-F238E27FC236}">
                  <a16:creationId xmlns:a16="http://schemas.microsoft.com/office/drawing/2014/main" id="{00000000-0008-0000-0100-000042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50</xdr:row>
          <xdr:rowOff>0</xdr:rowOff>
        </xdr:from>
        <xdr:to>
          <xdr:col>5</xdr:col>
          <xdr:colOff>0</xdr:colOff>
          <xdr:row>51</xdr:row>
          <xdr:rowOff>0</xdr:rowOff>
        </xdr:to>
        <xdr:sp macro="" textlink="">
          <xdr:nvSpPr>
            <xdr:cNvPr id="9283" name="Check Box 67" hidden="1">
              <a:extLst>
                <a:ext uri="{63B3BB69-23CF-44E3-9099-C40C66FF867C}">
                  <a14:compatExt spid="_x0000_s9283"/>
                </a:ext>
                <a:ext uri="{FF2B5EF4-FFF2-40B4-BE49-F238E27FC236}">
                  <a16:creationId xmlns:a16="http://schemas.microsoft.com/office/drawing/2014/main" id="{00000000-0008-0000-0100-000043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50</xdr:row>
          <xdr:rowOff>0</xdr:rowOff>
        </xdr:from>
        <xdr:to>
          <xdr:col>6</xdr:col>
          <xdr:colOff>0</xdr:colOff>
          <xdr:row>51</xdr:row>
          <xdr:rowOff>0</xdr:rowOff>
        </xdr:to>
        <xdr:sp macro="" textlink="">
          <xdr:nvSpPr>
            <xdr:cNvPr id="9284" name="Check Box 68" hidden="1">
              <a:extLst>
                <a:ext uri="{63B3BB69-23CF-44E3-9099-C40C66FF867C}">
                  <a14:compatExt spid="_x0000_s9284"/>
                </a:ext>
                <a:ext uri="{FF2B5EF4-FFF2-40B4-BE49-F238E27FC236}">
                  <a16:creationId xmlns:a16="http://schemas.microsoft.com/office/drawing/2014/main" id="{00000000-0008-0000-0100-000044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0</xdr:colOff>
          <xdr:row>51</xdr:row>
          <xdr:rowOff>0</xdr:rowOff>
        </xdr:to>
        <xdr:sp macro="" textlink="">
          <xdr:nvSpPr>
            <xdr:cNvPr id="9285" name="Check Box 69" hidden="1">
              <a:extLst>
                <a:ext uri="{63B3BB69-23CF-44E3-9099-C40C66FF867C}">
                  <a14:compatExt spid="_x0000_s9285"/>
                </a:ext>
                <a:ext uri="{FF2B5EF4-FFF2-40B4-BE49-F238E27FC236}">
                  <a16:creationId xmlns:a16="http://schemas.microsoft.com/office/drawing/2014/main" id="{00000000-0008-0000-0100-000045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50</xdr:row>
          <xdr:rowOff>457200</xdr:rowOff>
        </xdr:from>
        <xdr:to>
          <xdr:col>5</xdr:col>
          <xdr:colOff>0</xdr:colOff>
          <xdr:row>52</xdr:row>
          <xdr:rowOff>0</xdr:rowOff>
        </xdr:to>
        <xdr:sp macro="" textlink="">
          <xdr:nvSpPr>
            <xdr:cNvPr id="9286" name="Check Box 70" hidden="1">
              <a:extLst>
                <a:ext uri="{63B3BB69-23CF-44E3-9099-C40C66FF867C}">
                  <a14:compatExt spid="_x0000_s9286"/>
                </a:ext>
                <a:ext uri="{FF2B5EF4-FFF2-40B4-BE49-F238E27FC236}">
                  <a16:creationId xmlns:a16="http://schemas.microsoft.com/office/drawing/2014/main" id="{00000000-0008-0000-0100-000046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50</xdr:row>
          <xdr:rowOff>457200</xdr:rowOff>
        </xdr:from>
        <xdr:to>
          <xdr:col>6</xdr:col>
          <xdr:colOff>0</xdr:colOff>
          <xdr:row>52</xdr:row>
          <xdr:rowOff>0</xdr:rowOff>
        </xdr:to>
        <xdr:sp macro="" textlink="">
          <xdr:nvSpPr>
            <xdr:cNvPr id="9287" name="Check Box 71" hidden="1">
              <a:extLst>
                <a:ext uri="{63B3BB69-23CF-44E3-9099-C40C66FF867C}">
                  <a14:compatExt spid="_x0000_s9287"/>
                </a:ext>
                <a:ext uri="{FF2B5EF4-FFF2-40B4-BE49-F238E27FC236}">
                  <a16:creationId xmlns:a16="http://schemas.microsoft.com/office/drawing/2014/main" id="{00000000-0008-0000-0100-000047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457200</xdr:rowOff>
        </xdr:from>
        <xdr:to>
          <xdr:col>7</xdr:col>
          <xdr:colOff>0</xdr:colOff>
          <xdr:row>52</xdr:row>
          <xdr:rowOff>0</xdr:rowOff>
        </xdr:to>
        <xdr:sp macro="" textlink="">
          <xdr:nvSpPr>
            <xdr:cNvPr id="9288" name="Check Box 72" hidden="1">
              <a:extLst>
                <a:ext uri="{63B3BB69-23CF-44E3-9099-C40C66FF867C}">
                  <a14:compatExt spid="_x0000_s9288"/>
                </a:ext>
                <a:ext uri="{FF2B5EF4-FFF2-40B4-BE49-F238E27FC236}">
                  <a16:creationId xmlns:a16="http://schemas.microsoft.com/office/drawing/2014/main" id="{00000000-0008-0000-0100-000048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51</xdr:row>
          <xdr:rowOff>457200</xdr:rowOff>
        </xdr:from>
        <xdr:to>
          <xdr:col>5</xdr:col>
          <xdr:colOff>0</xdr:colOff>
          <xdr:row>53</xdr:row>
          <xdr:rowOff>0</xdr:rowOff>
        </xdr:to>
        <xdr:sp macro="" textlink="">
          <xdr:nvSpPr>
            <xdr:cNvPr id="9289" name="Check Box 73" hidden="1">
              <a:extLst>
                <a:ext uri="{63B3BB69-23CF-44E3-9099-C40C66FF867C}">
                  <a14:compatExt spid="_x0000_s9289"/>
                </a:ext>
                <a:ext uri="{FF2B5EF4-FFF2-40B4-BE49-F238E27FC236}">
                  <a16:creationId xmlns:a16="http://schemas.microsoft.com/office/drawing/2014/main" id="{00000000-0008-0000-0100-000049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457200</xdr:rowOff>
        </xdr:from>
        <xdr:to>
          <xdr:col>6</xdr:col>
          <xdr:colOff>0</xdr:colOff>
          <xdr:row>53</xdr:row>
          <xdr:rowOff>0</xdr:rowOff>
        </xdr:to>
        <xdr:sp macro="" textlink="">
          <xdr:nvSpPr>
            <xdr:cNvPr id="9290" name="Check Box 74" hidden="1">
              <a:extLst>
                <a:ext uri="{63B3BB69-23CF-44E3-9099-C40C66FF867C}">
                  <a14:compatExt spid="_x0000_s9290"/>
                </a:ext>
                <a:ext uri="{FF2B5EF4-FFF2-40B4-BE49-F238E27FC236}">
                  <a16:creationId xmlns:a16="http://schemas.microsoft.com/office/drawing/2014/main" id="{00000000-0008-0000-0100-00004A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457200</xdr:rowOff>
        </xdr:from>
        <xdr:to>
          <xdr:col>7</xdr:col>
          <xdr:colOff>0</xdr:colOff>
          <xdr:row>53</xdr:row>
          <xdr:rowOff>0</xdr:rowOff>
        </xdr:to>
        <xdr:sp macro="" textlink="">
          <xdr:nvSpPr>
            <xdr:cNvPr id="9291" name="Check Box 75" hidden="1">
              <a:extLst>
                <a:ext uri="{63B3BB69-23CF-44E3-9099-C40C66FF867C}">
                  <a14:compatExt spid="_x0000_s9291"/>
                </a:ext>
                <a:ext uri="{FF2B5EF4-FFF2-40B4-BE49-F238E27FC236}">
                  <a16:creationId xmlns:a16="http://schemas.microsoft.com/office/drawing/2014/main" id="{00000000-0008-0000-0100-00004B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53</xdr:row>
          <xdr:rowOff>0</xdr:rowOff>
        </xdr:from>
        <xdr:to>
          <xdr:col>5</xdr:col>
          <xdr:colOff>0</xdr:colOff>
          <xdr:row>54</xdr:row>
          <xdr:rowOff>0</xdr:rowOff>
        </xdr:to>
        <xdr:sp macro="" textlink="">
          <xdr:nvSpPr>
            <xdr:cNvPr id="9292" name="Check Box 76" hidden="1">
              <a:extLst>
                <a:ext uri="{63B3BB69-23CF-44E3-9099-C40C66FF867C}">
                  <a14:compatExt spid="_x0000_s9292"/>
                </a:ext>
                <a:ext uri="{FF2B5EF4-FFF2-40B4-BE49-F238E27FC236}">
                  <a16:creationId xmlns:a16="http://schemas.microsoft.com/office/drawing/2014/main" id="{00000000-0008-0000-0100-00004C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0</xdr:colOff>
          <xdr:row>54</xdr:row>
          <xdr:rowOff>0</xdr:rowOff>
        </xdr:to>
        <xdr:sp macro="" textlink="">
          <xdr:nvSpPr>
            <xdr:cNvPr id="9293" name="Check Box 77" hidden="1">
              <a:extLst>
                <a:ext uri="{63B3BB69-23CF-44E3-9099-C40C66FF867C}">
                  <a14:compatExt spid="_x0000_s9293"/>
                </a:ext>
                <a:ext uri="{FF2B5EF4-FFF2-40B4-BE49-F238E27FC236}">
                  <a16:creationId xmlns:a16="http://schemas.microsoft.com/office/drawing/2014/main" id="{00000000-0008-0000-0100-00004D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0</xdr:colOff>
          <xdr:row>54</xdr:row>
          <xdr:rowOff>0</xdr:rowOff>
        </xdr:to>
        <xdr:sp macro="" textlink="">
          <xdr:nvSpPr>
            <xdr:cNvPr id="9294" name="Check Box 78" hidden="1">
              <a:extLst>
                <a:ext uri="{63B3BB69-23CF-44E3-9099-C40C66FF867C}">
                  <a14:compatExt spid="_x0000_s9294"/>
                </a:ext>
                <a:ext uri="{FF2B5EF4-FFF2-40B4-BE49-F238E27FC236}">
                  <a16:creationId xmlns:a16="http://schemas.microsoft.com/office/drawing/2014/main" id="{00000000-0008-0000-0100-00004E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54</xdr:row>
          <xdr:rowOff>0</xdr:rowOff>
        </xdr:from>
        <xdr:to>
          <xdr:col>5</xdr:col>
          <xdr:colOff>0</xdr:colOff>
          <xdr:row>55</xdr:row>
          <xdr:rowOff>0</xdr:rowOff>
        </xdr:to>
        <xdr:sp macro="" textlink="">
          <xdr:nvSpPr>
            <xdr:cNvPr id="9295" name="Check Box 79" hidden="1">
              <a:extLst>
                <a:ext uri="{63B3BB69-23CF-44E3-9099-C40C66FF867C}">
                  <a14:compatExt spid="_x0000_s9295"/>
                </a:ext>
                <a:ext uri="{FF2B5EF4-FFF2-40B4-BE49-F238E27FC236}">
                  <a16:creationId xmlns:a16="http://schemas.microsoft.com/office/drawing/2014/main" id="{00000000-0008-0000-0100-00004F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54</xdr:row>
          <xdr:rowOff>0</xdr:rowOff>
        </xdr:from>
        <xdr:to>
          <xdr:col>6</xdr:col>
          <xdr:colOff>0</xdr:colOff>
          <xdr:row>55</xdr:row>
          <xdr:rowOff>0</xdr:rowOff>
        </xdr:to>
        <xdr:sp macro="" textlink="">
          <xdr:nvSpPr>
            <xdr:cNvPr id="9296" name="Check Box 80" hidden="1">
              <a:extLst>
                <a:ext uri="{63B3BB69-23CF-44E3-9099-C40C66FF867C}">
                  <a14:compatExt spid="_x0000_s9296"/>
                </a:ext>
                <a:ext uri="{FF2B5EF4-FFF2-40B4-BE49-F238E27FC236}">
                  <a16:creationId xmlns:a16="http://schemas.microsoft.com/office/drawing/2014/main" id="{00000000-0008-0000-0100-000050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0</xdr:colOff>
          <xdr:row>55</xdr:row>
          <xdr:rowOff>0</xdr:rowOff>
        </xdr:to>
        <xdr:sp macro="" textlink="">
          <xdr:nvSpPr>
            <xdr:cNvPr id="9297" name="Check Box 81" hidden="1">
              <a:extLst>
                <a:ext uri="{63B3BB69-23CF-44E3-9099-C40C66FF867C}">
                  <a14:compatExt spid="_x0000_s9297"/>
                </a:ext>
                <a:ext uri="{FF2B5EF4-FFF2-40B4-BE49-F238E27FC236}">
                  <a16:creationId xmlns:a16="http://schemas.microsoft.com/office/drawing/2014/main" id="{00000000-0008-0000-0100-000051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55</xdr:row>
          <xdr:rowOff>0</xdr:rowOff>
        </xdr:from>
        <xdr:to>
          <xdr:col>5</xdr:col>
          <xdr:colOff>0</xdr:colOff>
          <xdr:row>56</xdr:row>
          <xdr:rowOff>0</xdr:rowOff>
        </xdr:to>
        <xdr:sp macro="" textlink="">
          <xdr:nvSpPr>
            <xdr:cNvPr id="9298" name="Check Box 82" hidden="1">
              <a:extLst>
                <a:ext uri="{63B3BB69-23CF-44E3-9099-C40C66FF867C}">
                  <a14:compatExt spid="_x0000_s9298"/>
                </a:ext>
                <a:ext uri="{FF2B5EF4-FFF2-40B4-BE49-F238E27FC236}">
                  <a16:creationId xmlns:a16="http://schemas.microsoft.com/office/drawing/2014/main" id="{00000000-0008-0000-0100-000052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55</xdr:row>
          <xdr:rowOff>0</xdr:rowOff>
        </xdr:from>
        <xdr:to>
          <xdr:col>6</xdr:col>
          <xdr:colOff>0</xdr:colOff>
          <xdr:row>56</xdr:row>
          <xdr:rowOff>0</xdr:rowOff>
        </xdr:to>
        <xdr:sp macro="" textlink="">
          <xdr:nvSpPr>
            <xdr:cNvPr id="9299" name="Check Box 83" hidden="1">
              <a:extLst>
                <a:ext uri="{63B3BB69-23CF-44E3-9099-C40C66FF867C}">
                  <a14:compatExt spid="_x0000_s9299"/>
                </a:ext>
                <a:ext uri="{FF2B5EF4-FFF2-40B4-BE49-F238E27FC236}">
                  <a16:creationId xmlns:a16="http://schemas.microsoft.com/office/drawing/2014/main" id="{00000000-0008-0000-0100-000053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0</xdr:colOff>
          <xdr:row>56</xdr:row>
          <xdr:rowOff>0</xdr:rowOff>
        </xdr:to>
        <xdr:sp macro="" textlink="">
          <xdr:nvSpPr>
            <xdr:cNvPr id="9300" name="Check Box 84" hidden="1">
              <a:extLst>
                <a:ext uri="{63B3BB69-23CF-44E3-9099-C40C66FF867C}">
                  <a14:compatExt spid="_x0000_s9300"/>
                </a:ext>
                <a:ext uri="{FF2B5EF4-FFF2-40B4-BE49-F238E27FC236}">
                  <a16:creationId xmlns:a16="http://schemas.microsoft.com/office/drawing/2014/main" id="{00000000-0008-0000-0100-000054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55</xdr:row>
          <xdr:rowOff>685800</xdr:rowOff>
        </xdr:from>
        <xdr:to>
          <xdr:col>5</xdr:col>
          <xdr:colOff>0</xdr:colOff>
          <xdr:row>57</xdr:row>
          <xdr:rowOff>0</xdr:rowOff>
        </xdr:to>
        <xdr:sp macro="" textlink="">
          <xdr:nvSpPr>
            <xdr:cNvPr id="9301" name="Check Box 85" hidden="1">
              <a:extLst>
                <a:ext uri="{63B3BB69-23CF-44E3-9099-C40C66FF867C}">
                  <a14:compatExt spid="_x0000_s9301"/>
                </a:ext>
                <a:ext uri="{FF2B5EF4-FFF2-40B4-BE49-F238E27FC236}">
                  <a16:creationId xmlns:a16="http://schemas.microsoft.com/office/drawing/2014/main" id="{00000000-0008-0000-0100-000055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55</xdr:row>
          <xdr:rowOff>685800</xdr:rowOff>
        </xdr:from>
        <xdr:to>
          <xdr:col>6</xdr:col>
          <xdr:colOff>0</xdr:colOff>
          <xdr:row>57</xdr:row>
          <xdr:rowOff>0</xdr:rowOff>
        </xdr:to>
        <xdr:sp macro="" textlink="">
          <xdr:nvSpPr>
            <xdr:cNvPr id="9302" name="Check Box 86" hidden="1">
              <a:extLst>
                <a:ext uri="{63B3BB69-23CF-44E3-9099-C40C66FF867C}">
                  <a14:compatExt spid="_x0000_s9302"/>
                </a:ext>
                <a:ext uri="{FF2B5EF4-FFF2-40B4-BE49-F238E27FC236}">
                  <a16:creationId xmlns:a16="http://schemas.microsoft.com/office/drawing/2014/main" id="{00000000-0008-0000-0100-000056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685800</xdr:rowOff>
        </xdr:from>
        <xdr:to>
          <xdr:col>7</xdr:col>
          <xdr:colOff>0</xdr:colOff>
          <xdr:row>57</xdr:row>
          <xdr:rowOff>0</xdr:rowOff>
        </xdr:to>
        <xdr:sp macro="" textlink="">
          <xdr:nvSpPr>
            <xdr:cNvPr id="9303" name="Check Box 87" hidden="1">
              <a:extLst>
                <a:ext uri="{63B3BB69-23CF-44E3-9099-C40C66FF867C}">
                  <a14:compatExt spid="_x0000_s9303"/>
                </a:ext>
                <a:ext uri="{FF2B5EF4-FFF2-40B4-BE49-F238E27FC236}">
                  <a16:creationId xmlns:a16="http://schemas.microsoft.com/office/drawing/2014/main" id="{00000000-0008-0000-0100-000057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59</xdr:row>
          <xdr:rowOff>228600</xdr:rowOff>
        </xdr:from>
        <xdr:to>
          <xdr:col>5</xdr:col>
          <xdr:colOff>0</xdr:colOff>
          <xdr:row>61</xdr:row>
          <xdr:rowOff>0</xdr:rowOff>
        </xdr:to>
        <xdr:sp macro="" textlink="">
          <xdr:nvSpPr>
            <xdr:cNvPr id="9304" name="Check Box 88" hidden="1">
              <a:extLst>
                <a:ext uri="{63B3BB69-23CF-44E3-9099-C40C66FF867C}">
                  <a14:compatExt spid="_x0000_s9304"/>
                </a:ext>
                <a:ext uri="{FF2B5EF4-FFF2-40B4-BE49-F238E27FC236}">
                  <a16:creationId xmlns:a16="http://schemas.microsoft.com/office/drawing/2014/main" id="{00000000-0008-0000-0100-000058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228600</xdr:rowOff>
        </xdr:from>
        <xdr:to>
          <xdr:col>6</xdr:col>
          <xdr:colOff>0</xdr:colOff>
          <xdr:row>61</xdr:row>
          <xdr:rowOff>0</xdr:rowOff>
        </xdr:to>
        <xdr:sp macro="" textlink="">
          <xdr:nvSpPr>
            <xdr:cNvPr id="9305" name="Check Box 89" hidden="1">
              <a:extLst>
                <a:ext uri="{63B3BB69-23CF-44E3-9099-C40C66FF867C}">
                  <a14:compatExt spid="_x0000_s9305"/>
                </a:ext>
                <a:ext uri="{FF2B5EF4-FFF2-40B4-BE49-F238E27FC236}">
                  <a16:creationId xmlns:a16="http://schemas.microsoft.com/office/drawing/2014/main" id="{00000000-0008-0000-0100-000059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228600</xdr:rowOff>
        </xdr:from>
        <xdr:to>
          <xdr:col>7</xdr:col>
          <xdr:colOff>0</xdr:colOff>
          <xdr:row>61</xdr:row>
          <xdr:rowOff>0</xdr:rowOff>
        </xdr:to>
        <xdr:sp macro="" textlink="">
          <xdr:nvSpPr>
            <xdr:cNvPr id="9306" name="Check Box 90" hidden="1">
              <a:extLst>
                <a:ext uri="{63B3BB69-23CF-44E3-9099-C40C66FF867C}">
                  <a14:compatExt spid="_x0000_s9306"/>
                </a:ext>
                <a:ext uri="{FF2B5EF4-FFF2-40B4-BE49-F238E27FC236}">
                  <a16:creationId xmlns:a16="http://schemas.microsoft.com/office/drawing/2014/main" id="{00000000-0008-0000-0100-00005A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61</xdr:row>
          <xdr:rowOff>0</xdr:rowOff>
        </xdr:from>
        <xdr:to>
          <xdr:col>5</xdr:col>
          <xdr:colOff>0</xdr:colOff>
          <xdr:row>62</xdr:row>
          <xdr:rowOff>0</xdr:rowOff>
        </xdr:to>
        <xdr:sp macro="" textlink="">
          <xdr:nvSpPr>
            <xdr:cNvPr id="9307" name="Check Box 91" hidden="1">
              <a:extLst>
                <a:ext uri="{63B3BB69-23CF-44E3-9099-C40C66FF867C}">
                  <a14:compatExt spid="_x0000_s9307"/>
                </a:ext>
                <a:ext uri="{FF2B5EF4-FFF2-40B4-BE49-F238E27FC236}">
                  <a16:creationId xmlns:a16="http://schemas.microsoft.com/office/drawing/2014/main" id="{00000000-0008-0000-0100-00005B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0</xdr:colOff>
          <xdr:row>62</xdr:row>
          <xdr:rowOff>0</xdr:rowOff>
        </xdr:to>
        <xdr:sp macro="" textlink="">
          <xdr:nvSpPr>
            <xdr:cNvPr id="9308" name="Check Box 92" hidden="1">
              <a:extLst>
                <a:ext uri="{63B3BB69-23CF-44E3-9099-C40C66FF867C}">
                  <a14:compatExt spid="_x0000_s9308"/>
                </a:ext>
                <a:ext uri="{FF2B5EF4-FFF2-40B4-BE49-F238E27FC236}">
                  <a16:creationId xmlns:a16="http://schemas.microsoft.com/office/drawing/2014/main" id="{00000000-0008-0000-0100-00005C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0</xdr:colOff>
          <xdr:row>62</xdr:row>
          <xdr:rowOff>0</xdr:rowOff>
        </xdr:to>
        <xdr:sp macro="" textlink="">
          <xdr:nvSpPr>
            <xdr:cNvPr id="9309" name="Check Box 93" hidden="1">
              <a:extLst>
                <a:ext uri="{63B3BB69-23CF-44E3-9099-C40C66FF867C}">
                  <a14:compatExt spid="_x0000_s9309"/>
                </a:ext>
                <a:ext uri="{FF2B5EF4-FFF2-40B4-BE49-F238E27FC236}">
                  <a16:creationId xmlns:a16="http://schemas.microsoft.com/office/drawing/2014/main" id="{00000000-0008-0000-0100-00005D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62</xdr:row>
          <xdr:rowOff>0</xdr:rowOff>
        </xdr:from>
        <xdr:to>
          <xdr:col>5</xdr:col>
          <xdr:colOff>0</xdr:colOff>
          <xdr:row>63</xdr:row>
          <xdr:rowOff>0</xdr:rowOff>
        </xdr:to>
        <xdr:sp macro="" textlink="">
          <xdr:nvSpPr>
            <xdr:cNvPr id="9310" name="Check Box 94" hidden="1">
              <a:extLst>
                <a:ext uri="{63B3BB69-23CF-44E3-9099-C40C66FF867C}">
                  <a14:compatExt spid="_x0000_s9310"/>
                </a:ext>
                <a:ext uri="{FF2B5EF4-FFF2-40B4-BE49-F238E27FC236}">
                  <a16:creationId xmlns:a16="http://schemas.microsoft.com/office/drawing/2014/main" id="{00000000-0008-0000-0100-00005E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0</xdr:colOff>
          <xdr:row>63</xdr:row>
          <xdr:rowOff>0</xdr:rowOff>
        </xdr:to>
        <xdr:sp macro="" textlink="">
          <xdr:nvSpPr>
            <xdr:cNvPr id="9311" name="Check Box 95" hidden="1">
              <a:extLst>
                <a:ext uri="{63B3BB69-23CF-44E3-9099-C40C66FF867C}">
                  <a14:compatExt spid="_x0000_s9311"/>
                </a:ext>
                <a:ext uri="{FF2B5EF4-FFF2-40B4-BE49-F238E27FC236}">
                  <a16:creationId xmlns:a16="http://schemas.microsoft.com/office/drawing/2014/main" id="{00000000-0008-0000-0100-00005F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7</xdr:col>
          <xdr:colOff>0</xdr:colOff>
          <xdr:row>63</xdr:row>
          <xdr:rowOff>0</xdr:rowOff>
        </xdr:to>
        <xdr:sp macro="" textlink="">
          <xdr:nvSpPr>
            <xdr:cNvPr id="9312" name="Check Box 96" hidden="1">
              <a:extLst>
                <a:ext uri="{63B3BB69-23CF-44E3-9099-C40C66FF867C}">
                  <a14:compatExt spid="_x0000_s9312"/>
                </a:ext>
                <a:ext uri="{FF2B5EF4-FFF2-40B4-BE49-F238E27FC236}">
                  <a16:creationId xmlns:a16="http://schemas.microsoft.com/office/drawing/2014/main" id="{00000000-0008-0000-0100-000060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72</xdr:row>
          <xdr:rowOff>0</xdr:rowOff>
        </xdr:from>
        <xdr:to>
          <xdr:col>5</xdr:col>
          <xdr:colOff>0</xdr:colOff>
          <xdr:row>73</xdr:row>
          <xdr:rowOff>0</xdr:rowOff>
        </xdr:to>
        <xdr:sp macro="" textlink="">
          <xdr:nvSpPr>
            <xdr:cNvPr id="9313" name="Check Box 97" hidden="1">
              <a:extLst>
                <a:ext uri="{63B3BB69-23CF-44E3-9099-C40C66FF867C}">
                  <a14:compatExt spid="_x0000_s9313"/>
                </a:ext>
                <a:ext uri="{FF2B5EF4-FFF2-40B4-BE49-F238E27FC236}">
                  <a16:creationId xmlns:a16="http://schemas.microsoft.com/office/drawing/2014/main" id="{00000000-0008-0000-0100-000061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72</xdr:row>
          <xdr:rowOff>0</xdr:rowOff>
        </xdr:from>
        <xdr:to>
          <xdr:col>6</xdr:col>
          <xdr:colOff>0</xdr:colOff>
          <xdr:row>73</xdr:row>
          <xdr:rowOff>0</xdr:rowOff>
        </xdr:to>
        <xdr:sp macro="" textlink="">
          <xdr:nvSpPr>
            <xdr:cNvPr id="9314" name="Check Box 98" hidden="1">
              <a:extLst>
                <a:ext uri="{63B3BB69-23CF-44E3-9099-C40C66FF867C}">
                  <a14:compatExt spid="_x0000_s9314"/>
                </a:ext>
                <a:ext uri="{FF2B5EF4-FFF2-40B4-BE49-F238E27FC236}">
                  <a16:creationId xmlns:a16="http://schemas.microsoft.com/office/drawing/2014/main" id="{00000000-0008-0000-0100-000062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7</xdr:col>
          <xdr:colOff>0</xdr:colOff>
          <xdr:row>73</xdr:row>
          <xdr:rowOff>0</xdr:rowOff>
        </xdr:to>
        <xdr:sp macro="" textlink="">
          <xdr:nvSpPr>
            <xdr:cNvPr id="9315" name="Check Box 99" hidden="1">
              <a:extLst>
                <a:ext uri="{63B3BB69-23CF-44E3-9099-C40C66FF867C}">
                  <a14:compatExt spid="_x0000_s9315"/>
                </a:ext>
                <a:ext uri="{FF2B5EF4-FFF2-40B4-BE49-F238E27FC236}">
                  <a16:creationId xmlns:a16="http://schemas.microsoft.com/office/drawing/2014/main" id="{00000000-0008-0000-0100-000063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72</xdr:row>
          <xdr:rowOff>2514600</xdr:rowOff>
        </xdr:from>
        <xdr:to>
          <xdr:col>5</xdr:col>
          <xdr:colOff>0</xdr:colOff>
          <xdr:row>74</xdr:row>
          <xdr:rowOff>0</xdr:rowOff>
        </xdr:to>
        <xdr:sp macro="" textlink="">
          <xdr:nvSpPr>
            <xdr:cNvPr id="9316" name="Check Box 100" hidden="1">
              <a:extLst>
                <a:ext uri="{63B3BB69-23CF-44E3-9099-C40C66FF867C}">
                  <a14:compatExt spid="_x0000_s9316"/>
                </a:ext>
                <a:ext uri="{FF2B5EF4-FFF2-40B4-BE49-F238E27FC236}">
                  <a16:creationId xmlns:a16="http://schemas.microsoft.com/office/drawing/2014/main" id="{00000000-0008-0000-0100-000064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72</xdr:row>
          <xdr:rowOff>2514600</xdr:rowOff>
        </xdr:from>
        <xdr:to>
          <xdr:col>6</xdr:col>
          <xdr:colOff>0</xdr:colOff>
          <xdr:row>74</xdr:row>
          <xdr:rowOff>0</xdr:rowOff>
        </xdr:to>
        <xdr:sp macro="" textlink="">
          <xdr:nvSpPr>
            <xdr:cNvPr id="9317" name="Check Box 101" hidden="1">
              <a:extLst>
                <a:ext uri="{63B3BB69-23CF-44E3-9099-C40C66FF867C}">
                  <a14:compatExt spid="_x0000_s9317"/>
                </a:ext>
                <a:ext uri="{FF2B5EF4-FFF2-40B4-BE49-F238E27FC236}">
                  <a16:creationId xmlns:a16="http://schemas.microsoft.com/office/drawing/2014/main" id="{00000000-0008-0000-0100-000065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2514600</xdr:rowOff>
        </xdr:from>
        <xdr:to>
          <xdr:col>7</xdr:col>
          <xdr:colOff>0</xdr:colOff>
          <xdr:row>74</xdr:row>
          <xdr:rowOff>0</xdr:rowOff>
        </xdr:to>
        <xdr:sp macro="" textlink="">
          <xdr:nvSpPr>
            <xdr:cNvPr id="9318" name="Check Box 102" hidden="1">
              <a:extLst>
                <a:ext uri="{63B3BB69-23CF-44E3-9099-C40C66FF867C}">
                  <a14:compatExt spid="_x0000_s9318"/>
                </a:ext>
                <a:ext uri="{FF2B5EF4-FFF2-40B4-BE49-F238E27FC236}">
                  <a16:creationId xmlns:a16="http://schemas.microsoft.com/office/drawing/2014/main" id="{00000000-0008-0000-0100-000066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64</xdr:row>
          <xdr:rowOff>0</xdr:rowOff>
        </xdr:from>
        <xdr:to>
          <xdr:col>5</xdr:col>
          <xdr:colOff>0</xdr:colOff>
          <xdr:row>65</xdr:row>
          <xdr:rowOff>0</xdr:rowOff>
        </xdr:to>
        <xdr:sp macro="" textlink="">
          <xdr:nvSpPr>
            <xdr:cNvPr id="9322" name="Check Box 106" hidden="1">
              <a:extLst>
                <a:ext uri="{63B3BB69-23CF-44E3-9099-C40C66FF867C}">
                  <a14:compatExt spid="_x0000_s9322"/>
                </a:ext>
                <a:ext uri="{FF2B5EF4-FFF2-40B4-BE49-F238E27FC236}">
                  <a16:creationId xmlns:a16="http://schemas.microsoft.com/office/drawing/2014/main" id="{00000000-0008-0000-0100-00006A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64</xdr:row>
          <xdr:rowOff>0</xdr:rowOff>
        </xdr:from>
        <xdr:to>
          <xdr:col>6</xdr:col>
          <xdr:colOff>0</xdr:colOff>
          <xdr:row>65</xdr:row>
          <xdr:rowOff>0</xdr:rowOff>
        </xdr:to>
        <xdr:sp macro="" textlink="">
          <xdr:nvSpPr>
            <xdr:cNvPr id="9323" name="Check Box 107" hidden="1">
              <a:extLst>
                <a:ext uri="{63B3BB69-23CF-44E3-9099-C40C66FF867C}">
                  <a14:compatExt spid="_x0000_s9323"/>
                </a:ext>
                <a:ext uri="{FF2B5EF4-FFF2-40B4-BE49-F238E27FC236}">
                  <a16:creationId xmlns:a16="http://schemas.microsoft.com/office/drawing/2014/main" id="{00000000-0008-0000-0100-00006B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0</xdr:colOff>
          <xdr:row>65</xdr:row>
          <xdr:rowOff>0</xdr:rowOff>
        </xdr:to>
        <xdr:sp macro="" textlink="">
          <xdr:nvSpPr>
            <xdr:cNvPr id="9324" name="Check Box 108" hidden="1">
              <a:extLst>
                <a:ext uri="{63B3BB69-23CF-44E3-9099-C40C66FF867C}">
                  <a14:compatExt spid="_x0000_s9324"/>
                </a:ext>
                <a:ext uri="{FF2B5EF4-FFF2-40B4-BE49-F238E27FC236}">
                  <a16:creationId xmlns:a16="http://schemas.microsoft.com/office/drawing/2014/main" id="{00000000-0008-0000-0100-00006C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77</xdr:row>
          <xdr:rowOff>228600</xdr:rowOff>
        </xdr:from>
        <xdr:to>
          <xdr:col>5</xdr:col>
          <xdr:colOff>0</xdr:colOff>
          <xdr:row>79</xdr:row>
          <xdr:rowOff>0</xdr:rowOff>
        </xdr:to>
        <xdr:sp macro="" textlink="">
          <xdr:nvSpPr>
            <xdr:cNvPr id="9331" name="Check Box 115" hidden="1">
              <a:extLst>
                <a:ext uri="{63B3BB69-23CF-44E3-9099-C40C66FF867C}">
                  <a14:compatExt spid="_x0000_s9331"/>
                </a:ext>
                <a:ext uri="{FF2B5EF4-FFF2-40B4-BE49-F238E27FC236}">
                  <a16:creationId xmlns:a16="http://schemas.microsoft.com/office/drawing/2014/main" id="{00000000-0008-0000-0100-000073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77</xdr:row>
          <xdr:rowOff>228600</xdr:rowOff>
        </xdr:from>
        <xdr:to>
          <xdr:col>6</xdr:col>
          <xdr:colOff>0</xdr:colOff>
          <xdr:row>79</xdr:row>
          <xdr:rowOff>0</xdr:rowOff>
        </xdr:to>
        <xdr:sp macro="" textlink="">
          <xdr:nvSpPr>
            <xdr:cNvPr id="9332" name="Check Box 116" hidden="1">
              <a:extLst>
                <a:ext uri="{63B3BB69-23CF-44E3-9099-C40C66FF867C}">
                  <a14:compatExt spid="_x0000_s9332"/>
                </a:ext>
                <a:ext uri="{FF2B5EF4-FFF2-40B4-BE49-F238E27FC236}">
                  <a16:creationId xmlns:a16="http://schemas.microsoft.com/office/drawing/2014/main" id="{00000000-0008-0000-0100-000074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228600</xdr:rowOff>
        </xdr:from>
        <xdr:to>
          <xdr:col>7</xdr:col>
          <xdr:colOff>0</xdr:colOff>
          <xdr:row>79</xdr:row>
          <xdr:rowOff>0</xdr:rowOff>
        </xdr:to>
        <xdr:sp macro="" textlink="">
          <xdr:nvSpPr>
            <xdr:cNvPr id="9333" name="Check Box 117" hidden="1">
              <a:extLst>
                <a:ext uri="{63B3BB69-23CF-44E3-9099-C40C66FF867C}">
                  <a14:compatExt spid="_x0000_s9333"/>
                </a:ext>
                <a:ext uri="{FF2B5EF4-FFF2-40B4-BE49-F238E27FC236}">
                  <a16:creationId xmlns:a16="http://schemas.microsoft.com/office/drawing/2014/main" id="{00000000-0008-0000-0100-000075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79</xdr:row>
          <xdr:rowOff>2159000</xdr:rowOff>
        </xdr:from>
        <xdr:to>
          <xdr:col>4</xdr:col>
          <xdr:colOff>660400</xdr:colOff>
          <xdr:row>81</xdr:row>
          <xdr:rowOff>12700</xdr:rowOff>
        </xdr:to>
        <xdr:sp macro="" textlink="">
          <xdr:nvSpPr>
            <xdr:cNvPr id="9337" name="Check Box 121" hidden="1">
              <a:extLst>
                <a:ext uri="{63B3BB69-23CF-44E3-9099-C40C66FF867C}">
                  <a14:compatExt spid="_x0000_s9337"/>
                </a:ext>
                <a:ext uri="{FF2B5EF4-FFF2-40B4-BE49-F238E27FC236}">
                  <a16:creationId xmlns:a16="http://schemas.microsoft.com/office/drawing/2014/main" id="{00000000-0008-0000-0100-000079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80</xdr:row>
          <xdr:rowOff>0</xdr:rowOff>
        </xdr:from>
        <xdr:to>
          <xdr:col>6</xdr:col>
          <xdr:colOff>0</xdr:colOff>
          <xdr:row>81</xdr:row>
          <xdr:rowOff>0</xdr:rowOff>
        </xdr:to>
        <xdr:sp macro="" textlink="">
          <xdr:nvSpPr>
            <xdr:cNvPr id="9338" name="Check Box 122" hidden="1">
              <a:extLst>
                <a:ext uri="{63B3BB69-23CF-44E3-9099-C40C66FF867C}">
                  <a14:compatExt spid="_x0000_s9338"/>
                </a:ext>
                <a:ext uri="{FF2B5EF4-FFF2-40B4-BE49-F238E27FC236}">
                  <a16:creationId xmlns:a16="http://schemas.microsoft.com/office/drawing/2014/main" id="{00000000-0008-0000-0100-00007A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6</xdr:col>
          <xdr:colOff>647700</xdr:colOff>
          <xdr:row>81</xdr:row>
          <xdr:rowOff>12700</xdr:rowOff>
        </xdr:to>
        <xdr:sp macro="" textlink="">
          <xdr:nvSpPr>
            <xdr:cNvPr id="9339" name="Check Box 123" hidden="1">
              <a:extLst>
                <a:ext uri="{63B3BB69-23CF-44E3-9099-C40C66FF867C}">
                  <a14:compatExt spid="_x0000_s9339"/>
                </a:ext>
                <a:ext uri="{FF2B5EF4-FFF2-40B4-BE49-F238E27FC236}">
                  <a16:creationId xmlns:a16="http://schemas.microsoft.com/office/drawing/2014/main" id="{00000000-0008-0000-0100-00007B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81</xdr:row>
          <xdr:rowOff>0</xdr:rowOff>
        </xdr:from>
        <xdr:to>
          <xdr:col>5</xdr:col>
          <xdr:colOff>0</xdr:colOff>
          <xdr:row>82</xdr:row>
          <xdr:rowOff>0</xdr:rowOff>
        </xdr:to>
        <xdr:sp macro="" textlink="">
          <xdr:nvSpPr>
            <xdr:cNvPr id="9340" name="Check Box 124" hidden="1">
              <a:extLst>
                <a:ext uri="{63B3BB69-23CF-44E3-9099-C40C66FF867C}">
                  <a14:compatExt spid="_x0000_s9340"/>
                </a:ext>
                <a:ext uri="{FF2B5EF4-FFF2-40B4-BE49-F238E27FC236}">
                  <a16:creationId xmlns:a16="http://schemas.microsoft.com/office/drawing/2014/main" id="{00000000-0008-0000-0100-00007C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81</xdr:row>
          <xdr:rowOff>0</xdr:rowOff>
        </xdr:from>
        <xdr:to>
          <xdr:col>6</xdr:col>
          <xdr:colOff>0</xdr:colOff>
          <xdr:row>82</xdr:row>
          <xdr:rowOff>0</xdr:rowOff>
        </xdr:to>
        <xdr:sp macro="" textlink="">
          <xdr:nvSpPr>
            <xdr:cNvPr id="9341" name="Check Box 125" hidden="1">
              <a:extLst>
                <a:ext uri="{63B3BB69-23CF-44E3-9099-C40C66FF867C}">
                  <a14:compatExt spid="_x0000_s9341"/>
                </a:ext>
                <a:ext uri="{FF2B5EF4-FFF2-40B4-BE49-F238E27FC236}">
                  <a16:creationId xmlns:a16="http://schemas.microsoft.com/office/drawing/2014/main" id="{00000000-0008-0000-0100-00007D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0</xdr:colOff>
          <xdr:row>82</xdr:row>
          <xdr:rowOff>0</xdr:rowOff>
        </xdr:to>
        <xdr:sp macro="" textlink="">
          <xdr:nvSpPr>
            <xdr:cNvPr id="9342" name="Check Box 126" hidden="1">
              <a:extLst>
                <a:ext uri="{63B3BB69-23CF-44E3-9099-C40C66FF867C}">
                  <a14:compatExt spid="_x0000_s9342"/>
                </a:ext>
                <a:ext uri="{FF2B5EF4-FFF2-40B4-BE49-F238E27FC236}">
                  <a16:creationId xmlns:a16="http://schemas.microsoft.com/office/drawing/2014/main" id="{00000000-0008-0000-0100-00007E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82</xdr:row>
          <xdr:rowOff>0</xdr:rowOff>
        </xdr:from>
        <xdr:to>
          <xdr:col>5</xdr:col>
          <xdr:colOff>0</xdr:colOff>
          <xdr:row>83</xdr:row>
          <xdr:rowOff>0</xdr:rowOff>
        </xdr:to>
        <xdr:sp macro="" textlink="">
          <xdr:nvSpPr>
            <xdr:cNvPr id="9343" name="Check Box 127" hidden="1">
              <a:extLst>
                <a:ext uri="{63B3BB69-23CF-44E3-9099-C40C66FF867C}">
                  <a14:compatExt spid="_x0000_s9343"/>
                </a:ext>
                <a:ext uri="{FF2B5EF4-FFF2-40B4-BE49-F238E27FC236}">
                  <a16:creationId xmlns:a16="http://schemas.microsoft.com/office/drawing/2014/main" id="{00000000-0008-0000-0100-00007F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82</xdr:row>
          <xdr:rowOff>685800</xdr:rowOff>
        </xdr:from>
        <xdr:to>
          <xdr:col>5</xdr:col>
          <xdr:colOff>0</xdr:colOff>
          <xdr:row>84</xdr:row>
          <xdr:rowOff>0</xdr:rowOff>
        </xdr:to>
        <xdr:sp macro="" textlink="">
          <xdr:nvSpPr>
            <xdr:cNvPr id="9344" name="Check Box 128" hidden="1">
              <a:extLst>
                <a:ext uri="{63B3BB69-23CF-44E3-9099-C40C66FF867C}">
                  <a14:compatExt spid="_x0000_s9344"/>
                </a:ext>
                <a:ext uri="{FF2B5EF4-FFF2-40B4-BE49-F238E27FC236}">
                  <a16:creationId xmlns:a16="http://schemas.microsoft.com/office/drawing/2014/main" id="{00000000-0008-0000-0100-000080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84</xdr:row>
          <xdr:rowOff>0</xdr:rowOff>
        </xdr:from>
        <xdr:to>
          <xdr:col>5</xdr:col>
          <xdr:colOff>0</xdr:colOff>
          <xdr:row>84</xdr:row>
          <xdr:rowOff>482600</xdr:rowOff>
        </xdr:to>
        <xdr:sp macro="" textlink="">
          <xdr:nvSpPr>
            <xdr:cNvPr id="9345" name="Check Box 129" hidden="1">
              <a:extLst>
                <a:ext uri="{63B3BB69-23CF-44E3-9099-C40C66FF867C}">
                  <a14:compatExt spid="_x0000_s9345"/>
                </a:ext>
                <a:ext uri="{FF2B5EF4-FFF2-40B4-BE49-F238E27FC236}">
                  <a16:creationId xmlns:a16="http://schemas.microsoft.com/office/drawing/2014/main" id="{00000000-0008-0000-0100-000081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82</xdr:row>
          <xdr:rowOff>0</xdr:rowOff>
        </xdr:from>
        <xdr:to>
          <xdr:col>6</xdr:col>
          <xdr:colOff>0</xdr:colOff>
          <xdr:row>83</xdr:row>
          <xdr:rowOff>0</xdr:rowOff>
        </xdr:to>
        <xdr:sp macro="" textlink="">
          <xdr:nvSpPr>
            <xdr:cNvPr id="9346" name="Check Box 130" hidden="1">
              <a:extLst>
                <a:ext uri="{63B3BB69-23CF-44E3-9099-C40C66FF867C}">
                  <a14:compatExt spid="_x0000_s9346"/>
                </a:ext>
                <a:ext uri="{FF2B5EF4-FFF2-40B4-BE49-F238E27FC236}">
                  <a16:creationId xmlns:a16="http://schemas.microsoft.com/office/drawing/2014/main" id="{00000000-0008-0000-0100-000082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0</xdr:colOff>
          <xdr:row>83</xdr:row>
          <xdr:rowOff>0</xdr:rowOff>
        </xdr:to>
        <xdr:sp macro="" textlink="">
          <xdr:nvSpPr>
            <xdr:cNvPr id="9347" name="Check Box 131" hidden="1">
              <a:extLst>
                <a:ext uri="{63B3BB69-23CF-44E3-9099-C40C66FF867C}">
                  <a14:compatExt spid="_x0000_s9347"/>
                </a:ext>
                <a:ext uri="{FF2B5EF4-FFF2-40B4-BE49-F238E27FC236}">
                  <a16:creationId xmlns:a16="http://schemas.microsoft.com/office/drawing/2014/main" id="{00000000-0008-0000-0100-000083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82</xdr:row>
          <xdr:rowOff>685800</xdr:rowOff>
        </xdr:from>
        <xdr:to>
          <xdr:col>6</xdr:col>
          <xdr:colOff>0</xdr:colOff>
          <xdr:row>84</xdr:row>
          <xdr:rowOff>0</xdr:rowOff>
        </xdr:to>
        <xdr:sp macro="" textlink="">
          <xdr:nvSpPr>
            <xdr:cNvPr id="9348" name="Check Box 132" hidden="1">
              <a:extLst>
                <a:ext uri="{63B3BB69-23CF-44E3-9099-C40C66FF867C}">
                  <a14:compatExt spid="_x0000_s9348"/>
                </a:ext>
                <a:ext uri="{FF2B5EF4-FFF2-40B4-BE49-F238E27FC236}">
                  <a16:creationId xmlns:a16="http://schemas.microsoft.com/office/drawing/2014/main" id="{00000000-0008-0000-0100-000084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685800</xdr:rowOff>
        </xdr:from>
        <xdr:to>
          <xdr:col>7</xdr:col>
          <xdr:colOff>0</xdr:colOff>
          <xdr:row>84</xdr:row>
          <xdr:rowOff>0</xdr:rowOff>
        </xdr:to>
        <xdr:sp macro="" textlink="">
          <xdr:nvSpPr>
            <xdr:cNvPr id="9349" name="Check Box 133" hidden="1">
              <a:extLst>
                <a:ext uri="{63B3BB69-23CF-44E3-9099-C40C66FF867C}">
                  <a14:compatExt spid="_x0000_s9349"/>
                </a:ext>
                <a:ext uri="{FF2B5EF4-FFF2-40B4-BE49-F238E27FC236}">
                  <a16:creationId xmlns:a16="http://schemas.microsoft.com/office/drawing/2014/main" id="{00000000-0008-0000-0100-000085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84</xdr:row>
          <xdr:rowOff>0</xdr:rowOff>
        </xdr:from>
        <xdr:to>
          <xdr:col>6</xdr:col>
          <xdr:colOff>0</xdr:colOff>
          <xdr:row>84</xdr:row>
          <xdr:rowOff>482600</xdr:rowOff>
        </xdr:to>
        <xdr:sp macro="" textlink="">
          <xdr:nvSpPr>
            <xdr:cNvPr id="9350" name="Check Box 134" hidden="1">
              <a:extLst>
                <a:ext uri="{63B3BB69-23CF-44E3-9099-C40C66FF867C}">
                  <a14:compatExt spid="_x0000_s9350"/>
                </a:ext>
                <a:ext uri="{FF2B5EF4-FFF2-40B4-BE49-F238E27FC236}">
                  <a16:creationId xmlns:a16="http://schemas.microsoft.com/office/drawing/2014/main" id="{00000000-0008-0000-0100-000086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0</xdr:colOff>
          <xdr:row>84</xdr:row>
          <xdr:rowOff>482600</xdr:rowOff>
        </xdr:to>
        <xdr:sp macro="" textlink="">
          <xdr:nvSpPr>
            <xdr:cNvPr id="9351" name="Check Box 135" hidden="1">
              <a:extLst>
                <a:ext uri="{63B3BB69-23CF-44E3-9099-C40C66FF867C}">
                  <a14:compatExt spid="_x0000_s9351"/>
                </a:ext>
                <a:ext uri="{FF2B5EF4-FFF2-40B4-BE49-F238E27FC236}">
                  <a16:creationId xmlns:a16="http://schemas.microsoft.com/office/drawing/2014/main" id="{00000000-0008-0000-0100-000087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11</xdr:row>
          <xdr:rowOff>12700</xdr:rowOff>
        </xdr:from>
        <xdr:to>
          <xdr:col>3</xdr:col>
          <xdr:colOff>736600</xdr:colOff>
          <xdr:row>11</xdr:row>
          <xdr:rowOff>241300</xdr:rowOff>
        </xdr:to>
        <xdr:sp macro="" textlink="">
          <xdr:nvSpPr>
            <xdr:cNvPr id="9391" name="Check Box 175" hidden="1">
              <a:extLst>
                <a:ext uri="{63B3BB69-23CF-44E3-9099-C40C66FF867C}">
                  <a14:compatExt spid="_x0000_s9391"/>
                </a:ext>
                <a:ext uri="{FF2B5EF4-FFF2-40B4-BE49-F238E27FC236}">
                  <a16:creationId xmlns:a16="http://schemas.microsoft.com/office/drawing/2014/main" id="{00000000-0008-0000-0100-0000AF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charset="-128"/>
                  <a:ea typeface="Meiryo UI" charset="-128"/>
                </a:rPr>
                <a:t>TVCM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1879600</xdr:colOff>
          <xdr:row>11</xdr:row>
          <xdr:rowOff>12700</xdr:rowOff>
        </xdr:from>
        <xdr:to>
          <xdr:col>3</xdr:col>
          <xdr:colOff>2679700</xdr:colOff>
          <xdr:row>11</xdr:row>
          <xdr:rowOff>266700</xdr:rowOff>
        </xdr:to>
        <xdr:sp macro="" textlink="">
          <xdr:nvSpPr>
            <xdr:cNvPr id="9392" name="Check Box 176" hidden="1">
              <a:extLst>
                <a:ext uri="{63B3BB69-23CF-44E3-9099-C40C66FF867C}">
                  <a14:compatExt spid="_x0000_s9392"/>
                </a:ext>
                <a:ext uri="{FF2B5EF4-FFF2-40B4-BE49-F238E27FC236}">
                  <a16:creationId xmlns:a16="http://schemas.microsoft.com/office/drawing/2014/main" id="{00000000-0008-0000-0100-0000B0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charset="-128"/>
                  <a:ea typeface="Meiryo UI" charset="-128"/>
                </a:rPr>
                <a:t>新聞広告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2870200</xdr:colOff>
          <xdr:row>11</xdr:row>
          <xdr:rowOff>12700</xdr:rowOff>
        </xdr:from>
        <xdr:to>
          <xdr:col>3</xdr:col>
          <xdr:colOff>3657600</xdr:colOff>
          <xdr:row>11</xdr:row>
          <xdr:rowOff>241300</xdr:rowOff>
        </xdr:to>
        <xdr:sp macro="" textlink="">
          <xdr:nvSpPr>
            <xdr:cNvPr id="9393" name="Check Box 177" hidden="1">
              <a:extLst>
                <a:ext uri="{63B3BB69-23CF-44E3-9099-C40C66FF867C}">
                  <a14:compatExt spid="_x0000_s9393"/>
                </a:ext>
                <a:ext uri="{FF2B5EF4-FFF2-40B4-BE49-F238E27FC236}">
                  <a16:creationId xmlns:a16="http://schemas.microsoft.com/office/drawing/2014/main" id="{00000000-0008-0000-0100-0000B1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charset="-128"/>
                  <a:ea typeface="Meiryo UI" charset="-128"/>
                </a:rPr>
                <a:t>雑誌広告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3848100</xdr:colOff>
          <xdr:row>11</xdr:row>
          <xdr:rowOff>12700</xdr:rowOff>
        </xdr:from>
        <xdr:to>
          <xdr:col>3</xdr:col>
          <xdr:colOff>4927600</xdr:colOff>
          <xdr:row>11</xdr:row>
          <xdr:rowOff>241300</xdr:rowOff>
        </xdr:to>
        <xdr:sp macro="" textlink="">
          <xdr:nvSpPr>
            <xdr:cNvPr id="9394" name="Check Box 178" hidden="1">
              <a:extLst>
                <a:ext uri="{63B3BB69-23CF-44E3-9099-C40C66FF867C}">
                  <a14:compatExt spid="_x0000_s9394"/>
                </a:ext>
                <a:ext uri="{FF2B5EF4-FFF2-40B4-BE49-F238E27FC236}">
                  <a16:creationId xmlns:a16="http://schemas.microsoft.com/office/drawing/2014/main" id="{00000000-0008-0000-0100-0000B2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charset="-128"/>
                  <a:ea typeface="Meiryo UI" charset="-128"/>
                </a:rPr>
                <a:t>Web/SNS広告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1879600</xdr:colOff>
          <xdr:row>11</xdr:row>
          <xdr:rowOff>203200</xdr:rowOff>
        </xdr:from>
        <xdr:to>
          <xdr:col>3</xdr:col>
          <xdr:colOff>2552700</xdr:colOff>
          <xdr:row>12</xdr:row>
          <xdr:rowOff>12700</xdr:rowOff>
        </xdr:to>
        <xdr:sp macro="" textlink="">
          <xdr:nvSpPr>
            <xdr:cNvPr id="9395" name="Check Box 179" hidden="1">
              <a:extLst>
                <a:ext uri="{63B3BB69-23CF-44E3-9099-C40C66FF867C}">
                  <a14:compatExt spid="_x0000_s9395"/>
                </a:ext>
                <a:ext uri="{FF2B5EF4-FFF2-40B4-BE49-F238E27FC236}">
                  <a16:creationId xmlns:a16="http://schemas.microsoft.com/office/drawing/2014/main" id="{00000000-0008-0000-0100-0000B3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charset="-128"/>
                  <a:ea typeface="Meiryo UI" charset="-128"/>
                </a:rPr>
                <a:t>その他</a:t>
              </a:r>
            </a:p>
          </xdr:txBody>
        </xdr:sp>
        <xdr:clientData/>
      </xdr:twoCellAnchor>
    </mc:Choice>
    <mc:Fallback/>
  </mc:AlternateContent>
  <xdr:twoCellAnchor>
    <xdr:from>
      <xdr:col>3</xdr:col>
      <xdr:colOff>2418274</xdr:colOff>
      <xdr:row>11</xdr:row>
      <xdr:rowOff>210057</xdr:rowOff>
    </xdr:from>
    <xdr:to>
      <xdr:col>3</xdr:col>
      <xdr:colOff>4529043</xdr:colOff>
      <xdr:row>12</xdr:row>
      <xdr:rowOff>3456</xdr:rowOff>
    </xdr:to>
    <xdr:sp macro="" textlink="">
      <xdr:nvSpPr>
        <xdr:cNvPr id="2" name="テキスト ボックス 1">
          <a:extLst>
            <a:ext uri="{FF2B5EF4-FFF2-40B4-BE49-F238E27FC236}">
              <a16:creationId xmlns:a16="http://schemas.microsoft.com/office/drawing/2014/main" id="{D689EE13-8F54-4AD1-9F98-E76BE546B9CE}"/>
            </a:ext>
          </a:extLst>
        </xdr:cNvPr>
        <xdr:cNvSpPr txBox="1"/>
      </xdr:nvSpPr>
      <xdr:spPr>
        <a:xfrm>
          <a:off x="3853374" y="2553207"/>
          <a:ext cx="2110769" cy="250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p>
      </xdr:txBody>
    </xdr:sp>
    <xdr:clientData/>
  </xdr:twoCellAnchor>
  <mc:AlternateContent xmlns:mc="http://schemas.openxmlformats.org/markup-compatibility/2006">
    <mc:Choice xmlns:a14="http://schemas.microsoft.com/office/drawing/2010/main" Requires="a14">
      <xdr:twoCellAnchor editAs="oneCell">
        <xdr:from>
          <xdr:col>3</xdr:col>
          <xdr:colOff>12700</xdr:colOff>
          <xdr:row>13</xdr:row>
          <xdr:rowOff>0</xdr:rowOff>
        </xdr:from>
        <xdr:to>
          <xdr:col>4</xdr:col>
          <xdr:colOff>0</xdr:colOff>
          <xdr:row>14</xdr:row>
          <xdr:rowOff>0</xdr:rowOff>
        </xdr:to>
        <xdr:sp macro="" textlink="">
          <xdr:nvSpPr>
            <xdr:cNvPr id="9396" name="Check Box 180" hidden="1">
              <a:extLst>
                <a:ext uri="{63B3BB69-23CF-44E3-9099-C40C66FF867C}">
                  <a14:compatExt spid="_x0000_s9396"/>
                </a:ext>
                <a:ext uri="{FF2B5EF4-FFF2-40B4-BE49-F238E27FC236}">
                  <a16:creationId xmlns:a16="http://schemas.microsoft.com/office/drawing/2014/main" id="{00000000-0008-0000-0100-0000B4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charset="-128"/>
                  <a:ea typeface="Meiryo UI" charset="-128"/>
                </a:rPr>
                <a:t>商品・サービスに関する広告である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12700</xdr:colOff>
          <xdr:row>14</xdr:row>
          <xdr:rowOff>0</xdr:rowOff>
        </xdr:from>
        <xdr:to>
          <xdr:col>4</xdr:col>
          <xdr:colOff>0</xdr:colOff>
          <xdr:row>15</xdr:row>
          <xdr:rowOff>12700</xdr:rowOff>
        </xdr:to>
        <xdr:sp macro="" textlink="">
          <xdr:nvSpPr>
            <xdr:cNvPr id="9397" name="Check Box 181" hidden="1">
              <a:extLst>
                <a:ext uri="{63B3BB69-23CF-44E3-9099-C40C66FF867C}">
                  <a14:compatExt spid="_x0000_s9397"/>
                </a:ext>
                <a:ext uri="{FF2B5EF4-FFF2-40B4-BE49-F238E27FC236}">
                  <a16:creationId xmlns:a16="http://schemas.microsoft.com/office/drawing/2014/main" id="{00000000-0008-0000-0100-0000B5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charset="-128"/>
                  <a:ea typeface="Meiryo UI" charset="-128"/>
                </a:rPr>
                <a:t>NTTの研究所、研究技術に関する広告である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12700</xdr:colOff>
          <xdr:row>15</xdr:row>
          <xdr:rowOff>0</xdr:rowOff>
        </xdr:from>
        <xdr:to>
          <xdr:col>4</xdr:col>
          <xdr:colOff>0</xdr:colOff>
          <xdr:row>16</xdr:row>
          <xdr:rowOff>0</xdr:rowOff>
        </xdr:to>
        <xdr:sp macro="" textlink="">
          <xdr:nvSpPr>
            <xdr:cNvPr id="9398" name="Check Box 182" hidden="1">
              <a:extLst>
                <a:ext uri="{63B3BB69-23CF-44E3-9099-C40C66FF867C}">
                  <a14:compatExt spid="_x0000_s9398"/>
                </a:ext>
                <a:ext uri="{FF2B5EF4-FFF2-40B4-BE49-F238E27FC236}">
                  <a16:creationId xmlns:a16="http://schemas.microsoft.com/office/drawing/2014/main" id="{00000000-0008-0000-0100-0000B6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charset="-128"/>
                  <a:ea typeface="Meiryo UI" charset="-128"/>
                </a:rPr>
                <a:t>価格表示がある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63</xdr:row>
          <xdr:rowOff>0</xdr:rowOff>
        </xdr:from>
        <xdr:to>
          <xdr:col>5</xdr:col>
          <xdr:colOff>0</xdr:colOff>
          <xdr:row>64</xdr:row>
          <xdr:rowOff>0</xdr:rowOff>
        </xdr:to>
        <xdr:sp macro="" textlink="">
          <xdr:nvSpPr>
            <xdr:cNvPr id="9399" name="Check Box 183" hidden="1">
              <a:extLst>
                <a:ext uri="{63B3BB69-23CF-44E3-9099-C40C66FF867C}">
                  <a14:compatExt spid="_x0000_s9399"/>
                </a:ext>
                <a:ext uri="{FF2B5EF4-FFF2-40B4-BE49-F238E27FC236}">
                  <a16:creationId xmlns:a16="http://schemas.microsoft.com/office/drawing/2014/main" id="{00000000-0008-0000-0100-0000B7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63</xdr:row>
          <xdr:rowOff>0</xdr:rowOff>
        </xdr:from>
        <xdr:to>
          <xdr:col>6</xdr:col>
          <xdr:colOff>0</xdr:colOff>
          <xdr:row>64</xdr:row>
          <xdr:rowOff>0</xdr:rowOff>
        </xdr:to>
        <xdr:sp macro="" textlink="">
          <xdr:nvSpPr>
            <xdr:cNvPr id="9400" name="Check Box 184" hidden="1">
              <a:extLst>
                <a:ext uri="{63B3BB69-23CF-44E3-9099-C40C66FF867C}">
                  <a14:compatExt spid="_x0000_s9400"/>
                </a:ext>
                <a:ext uri="{FF2B5EF4-FFF2-40B4-BE49-F238E27FC236}">
                  <a16:creationId xmlns:a16="http://schemas.microsoft.com/office/drawing/2014/main" id="{00000000-0008-0000-0100-0000B8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0</xdr:colOff>
          <xdr:row>64</xdr:row>
          <xdr:rowOff>0</xdr:rowOff>
        </xdr:to>
        <xdr:sp macro="" textlink="">
          <xdr:nvSpPr>
            <xdr:cNvPr id="9401" name="Check Box 185" hidden="1">
              <a:extLst>
                <a:ext uri="{63B3BB69-23CF-44E3-9099-C40C66FF867C}">
                  <a14:compatExt spid="_x0000_s9401"/>
                </a:ext>
                <a:ext uri="{FF2B5EF4-FFF2-40B4-BE49-F238E27FC236}">
                  <a16:creationId xmlns:a16="http://schemas.microsoft.com/office/drawing/2014/main" id="{00000000-0008-0000-0100-0000B9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5118100</xdr:colOff>
          <xdr:row>11</xdr:row>
          <xdr:rowOff>12700</xdr:rowOff>
        </xdr:from>
        <xdr:to>
          <xdr:col>3</xdr:col>
          <xdr:colOff>6248400</xdr:colOff>
          <xdr:row>11</xdr:row>
          <xdr:rowOff>266700</xdr:rowOff>
        </xdr:to>
        <xdr:sp macro="" textlink="">
          <xdr:nvSpPr>
            <xdr:cNvPr id="9402" name="Check Box 186" hidden="1">
              <a:extLst>
                <a:ext uri="{63B3BB69-23CF-44E3-9099-C40C66FF867C}">
                  <a14:compatExt spid="_x0000_s9402"/>
                </a:ext>
                <a:ext uri="{FF2B5EF4-FFF2-40B4-BE49-F238E27FC236}">
                  <a16:creationId xmlns:a16="http://schemas.microsoft.com/office/drawing/2014/main" id="{00000000-0008-0000-0100-0000BA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charset="-128"/>
                  <a:ea typeface="Meiryo UI" charset="-128"/>
                </a:rPr>
                <a:t>チラシ/パンフレット</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11</xdr:row>
          <xdr:rowOff>228600</xdr:rowOff>
        </xdr:from>
        <xdr:to>
          <xdr:col>3</xdr:col>
          <xdr:colOff>1879600</xdr:colOff>
          <xdr:row>11</xdr:row>
          <xdr:rowOff>457200</xdr:rowOff>
        </xdr:to>
        <xdr:sp macro="" textlink="">
          <xdr:nvSpPr>
            <xdr:cNvPr id="9403" name="Check Box 187" hidden="1">
              <a:extLst>
                <a:ext uri="{63B3BB69-23CF-44E3-9099-C40C66FF867C}">
                  <a14:compatExt spid="_x0000_s9403"/>
                </a:ext>
                <a:ext uri="{FF2B5EF4-FFF2-40B4-BE49-F238E27FC236}">
                  <a16:creationId xmlns:a16="http://schemas.microsoft.com/office/drawing/2014/main" id="{00000000-0008-0000-0100-0000BB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charset="-128"/>
                  <a:ea typeface="Meiryo UI" charset="-128"/>
                </a:rPr>
                <a:t>OOH（ポスター/交通広告/看板）</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952500</xdr:colOff>
          <xdr:row>11</xdr:row>
          <xdr:rowOff>12700</xdr:rowOff>
        </xdr:from>
        <xdr:to>
          <xdr:col>3</xdr:col>
          <xdr:colOff>1689100</xdr:colOff>
          <xdr:row>11</xdr:row>
          <xdr:rowOff>266700</xdr:rowOff>
        </xdr:to>
        <xdr:sp macro="" textlink="">
          <xdr:nvSpPr>
            <xdr:cNvPr id="9404" name="Check Box 188" hidden="1">
              <a:extLst>
                <a:ext uri="{63B3BB69-23CF-44E3-9099-C40C66FF867C}">
                  <a14:compatExt spid="_x0000_s9404"/>
                </a:ext>
                <a:ext uri="{FF2B5EF4-FFF2-40B4-BE49-F238E27FC236}">
                  <a16:creationId xmlns:a16="http://schemas.microsoft.com/office/drawing/2014/main" id="{00000000-0008-0000-0100-0000BC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eiryo UI" charset="-128"/>
                  <a:ea typeface="Meiryo UI" charset="-128"/>
                </a:rPr>
                <a:t>ラジオCM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85</xdr:row>
          <xdr:rowOff>0</xdr:rowOff>
        </xdr:from>
        <xdr:to>
          <xdr:col>4</xdr:col>
          <xdr:colOff>660400</xdr:colOff>
          <xdr:row>85</xdr:row>
          <xdr:rowOff>381000</xdr:rowOff>
        </xdr:to>
        <xdr:sp macro="" textlink="">
          <xdr:nvSpPr>
            <xdr:cNvPr id="9409" name="Check Box 193" hidden="1">
              <a:extLst>
                <a:ext uri="{63B3BB69-23CF-44E3-9099-C40C66FF867C}">
                  <a14:compatExt spid="_x0000_s9409"/>
                </a:ext>
                <a:ext uri="{FF2B5EF4-FFF2-40B4-BE49-F238E27FC236}">
                  <a16:creationId xmlns:a16="http://schemas.microsoft.com/office/drawing/2014/main" id="{00000000-0008-0000-0100-0000C1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0</xdr:colOff>
          <xdr:row>85</xdr:row>
          <xdr:rowOff>381000</xdr:rowOff>
        </xdr:to>
        <xdr:sp macro="" textlink="">
          <xdr:nvSpPr>
            <xdr:cNvPr id="9410" name="Check Box 194" hidden="1">
              <a:extLst>
                <a:ext uri="{63B3BB69-23CF-44E3-9099-C40C66FF867C}">
                  <a14:compatExt spid="_x0000_s9410"/>
                </a:ext>
                <a:ext uri="{FF2B5EF4-FFF2-40B4-BE49-F238E27FC236}">
                  <a16:creationId xmlns:a16="http://schemas.microsoft.com/office/drawing/2014/main" id="{00000000-0008-0000-0100-0000C2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6</xdr:col>
          <xdr:colOff>622300</xdr:colOff>
          <xdr:row>86</xdr:row>
          <xdr:rowOff>12700</xdr:rowOff>
        </xdr:to>
        <xdr:sp macro="" textlink="">
          <xdr:nvSpPr>
            <xdr:cNvPr id="9411" name="Check Box 195" hidden="1">
              <a:extLst>
                <a:ext uri="{63B3BB69-23CF-44E3-9099-C40C66FF867C}">
                  <a14:compatExt spid="_x0000_s9411"/>
                </a:ext>
                <a:ext uri="{FF2B5EF4-FFF2-40B4-BE49-F238E27FC236}">
                  <a16:creationId xmlns:a16="http://schemas.microsoft.com/office/drawing/2014/main" id="{00000000-0008-0000-0100-0000C3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86</xdr:row>
          <xdr:rowOff>0</xdr:rowOff>
        </xdr:from>
        <xdr:to>
          <xdr:col>4</xdr:col>
          <xdr:colOff>647700</xdr:colOff>
          <xdr:row>87</xdr:row>
          <xdr:rowOff>12700</xdr:rowOff>
        </xdr:to>
        <xdr:sp macro="" textlink="">
          <xdr:nvSpPr>
            <xdr:cNvPr id="9412" name="Check Box 196" hidden="1">
              <a:extLst>
                <a:ext uri="{63B3BB69-23CF-44E3-9099-C40C66FF867C}">
                  <a14:compatExt spid="_x0000_s9412"/>
                </a:ext>
                <a:ext uri="{FF2B5EF4-FFF2-40B4-BE49-F238E27FC236}">
                  <a16:creationId xmlns:a16="http://schemas.microsoft.com/office/drawing/2014/main" id="{00000000-0008-0000-0100-0000C4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86</xdr:row>
          <xdr:rowOff>0</xdr:rowOff>
        </xdr:from>
        <xdr:to>
          <xdr:col>5</xdr:col>
          <xdr:colOff>622300</xdr:colOff>
          <xdr:row>87</xdr:row>
          <xdr:rowOff>12700</xdr:rowOff>
        </xdr:to>
        <xdr:sp macro="" textlink="">
          <xdr:nvSpPr>
            <xdr:cNvPr id="9413" name="Check Box 197" hidden="1">
              <a:extLst>
                <a:ext uri="{63B3BB69-23CF-44E3-9099-C40C66FF867C}">
                  <a14:compatExt spid="_x0000_s9413"/>
                </a:ext>
                <a:ext uri="{FF2B5EF4-FFF2-40B4-BE49-F238E27FC236}">
                  <a16:creationId xmlns:a16="http://schemas.microsoft.com/office/drawing/2014/main" id="{00000000-0008-0000-0100-0000C5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86</xdr:row>
          <xdr:rowOff>0</xdr:rowOff>
        </xdr:from>
        <xdr:to>
          <xdr:col>7</xdr:col>
          <xdr:colOff>38100</xdr:colOff>
          <xdr:row>86</xdr:row>
          <xdr:rowOff>381000</xdr:rowOff>
        </xdr:to>
        <xdr:sp macro="" textlink="">
          <xdr:nvSpPr>
            <xdr:cNvPr id="9414" name="Check Box 198" hidden="1">
              <a:extLst>
                <a:ext uri="{63B3BB69-23CF-44E3-9099-C40C66FF867C}">
                  <a14:compatExt spid="_x0000_s9414"/>
                </a:ext>
                <a:ext uri="{FF2B5EF4-FFF2-40B4-BE49-F238E27FC236}">
                  <a16:creationId xmlns:a16="http://schemas.microsoft.com/office/drawing/2014/main" id="{00000000-0008-0000-0100-0000C6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87</xdr:row>
          <xdr:rowOff>0</xdr:rowOff>
        </xdr:from>
        <xdr:to>
          <xdr:col>4</xdr:col>
          <xdr:colOff>647700</xdr:colOff>
          <xdr:row>88</xdr:row>
          <xdr:rowOff>12700</xdr:rowOff>
        </xdr:to>
        <xdr:sp macro="" textlink="">
          <xdr:nvSpPr>
            <xdr:cNvPr id="9415" name="Check Box 199" hidden="1">
              <a:extLst>
                <a:ext uri="{63B3BB69-23CF-44E3-9099-C40C66FF867C}">
                  <a14:compatExt spid="_x0000_s9415"/>
                </a:ext>
                <a:ext uri="{FF2B5EF4-FFF2-40B4-BE49-F238E27FC236}">
                  <a16:creationId xmlns:a16="http://schemas.microsoft.com/office/drawing/2014/main" id="{00000000-0008-0000-0100-0000C7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5</xdr:col>
          <xdr:colOff>622300</xdr:colOff>
          <xdr:row>88</xdr:row>
          <xdr:rowOff>12700</xdr:rowOff>
        </xdr:to>
        <xdr:sp macro="" textlink="">
          <xdr:nvSpPr>
            <xdr:cNvPr id="9416" name="Check Box 200" hidden="1">
              <a:extLst>
                <a:ext uri="{63B3BB69-23CF-44E3-9099-C40C66FF867C}">
                  <a14:compatExt spid="_x0000_s9416"/>
                </a:ext>
                <a:ext uri="{FF2B5EF4-FFF2-40B4-BE49-F238E27FC236}">
                  <a16:creationId xmlns:a16="http://schemas.microsoft.com/office/drawing/2014/main" id="{00000000-0008-0000-0100-0000C8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87</xdr:row>
          <xdr:rowOff>0</xdr:rowOff>
        </xdr:from>
        <xdr:to>
          <xdr:col>7</xdr:col>
          <xdr:colOff>38100</xdr:colOff>
          <xdr:row>87</xdr:row>
          <xdr:rowOff>381000</xdr:rowOff>
        </xdr:to>
        <xdr:sp macro="" textlink="">
          <xdr:nvSpPr>
            <xdr:cNvPr id="9417" name="Check Box 201" hidden="1">
              <a:extLst>
                <a:ext uri="{63B3BB69-23CF-44E3-9099-C40C66FF867C}">
                  <a14:compatExt spid="_x0000_s9417"/>
                </a:ext>
                <a:ext uri="{FF2B5EF4-FFF2-40B4-BE49-F238E27FC236}">
                  <a16:creationId xmlns:a16="http://schemas.microsoft.com/office/drawing/2014/main" id="{00000000-0008-0000-0100-0000C9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89</xdr:row>
          <xdr:rowOff>0</xdr:rowOff>
        </xdr:from>
        <xdr:to>
          <xdr:col>4</xdr:col>
          <xdr:colOff>647700</xdr:colOff>
          <xdr:row>90</xdr:row>
          <xdr:rowOff>12700</xdr:rowOff>
        </xdr:to>
        <xdr:sp macro="" textlink="">
          <xdr:nvSpPr>
            <xdr:cNvPr id="9418" name="Check Box 202" hidden="1">
              <a:extLst>
                <a:ext uri="{63B3BB69-23CF-44E3-9099-C40C66FF867C}">
                  <a14:compatExt spid="_x0000_s9418"/>
                </a:ext>
                <a:ext uri="{FF2B5EF4-FFF2-40B4-BE49-F238E27FC236}">
                  <a16:creationId xmlns:a16="http://schemas.microsoft.com/office/drawing/2014/main" id="{00000000-0008-0000-0100-0000CA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89</xdr:row>
          <xdr:rowOff>0</xdr:rowOff>
        </xdr:from>
        <xdr:to>
          <xdr:col>5</xdr:col>
          <xdr:colOff>622300</xdr:colOff>
          <xdr:row>90</xdr:row>
          <xdr:rowOff>12700</xdr:rowOff>
        </xdr:to>
        <xdr:sp macro="" textlink="">
          <xdr:nvSpPr>
            <xdr:cNvPr id="9419" name="Check Box 203" hidden="1">
              <a:extLst>
                <a:ext uri="{63B3BB69-23CF-44E3-9099-C40C66FF867C}">
                  <a14:compatExt spid="_x0000_s9419"/>
                </a:ext>
                <a:ext uri="{FF2B5EF4-FFF2-40B4-BE49-F238E27FC236}">
                  <a16:creationId xmlns:a16="http://schemas.microsoft.com/office/drawing/2014/main" id="{00000000-0008-0000-0100-0000CB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7</xdr:col>
          <xdr:colOff>38100</xdr:colOff>
          <xdr:row>89</xdr:row>
          <xdr:rowOff>381000</xdr:rowOff>
        </xdr:to>
        <xdr:sp macro="" textlink="">
          <xdr:nvSpPr>
            <xdr:cNvPr id="9420" name="Check Box 204" hidden="1">
              <a:extLst>
                <a:ext uri="{63B3BB69-23CF-44E3-9099-C40C66FF867C}">
                  <a14:compatExt spid="_x0000_s9420"/>
                </a:ext>
                <a:ext uri="{FF2B5EF4-FFF2-40B4-BE49-F238E27FC236}">
                  <a16:creationId xmlns:a16="http://schemas.microsoft.com/office/drawing/2014/main" id="{00000000-0008-0000-0100-0000CC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90</xdr:row>
          <xdr:rowOff>0</xdr:rowOff>
        </xdr:from>
        <xdr:to>
          <xdr:col>4</xdr:col>
          <xdr:colOff>647700</xdr:colOff>
          <xdr:row>91</xdr:row>
          <xdr:rowOff>12700</xdr:rowOff>
        </xdr:to>
        <xdr:sp macro="" textlink="">
          <xdr:nvSpPr>
            <xdr:cNvPr id="9421" name="Check Box 205" hidden="1">
              <a:extLst>
                <a:ext uri="{63B3BB69-23CF-44E3-9099-C40C66FF867C}">
                  <a14:compatExt spid="_x0000_s9421"/>
                </a:ext>
                <a:ext uri="{FF2B5EF4-FFF2-40B4-BE49-F238E27FC236}">
                  <a16:creationId xmlns:a16="http://schemas.microsoft.com/office/drawing/2014/main" id="{00000000-0008-0000-0100-0000CD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90</xdr:row>
          <xdr:rowOff>0</xdr:rowOff>
        </xdr:from>
        <xdr:to>
          <xdr:col>5</xdr:col>
          <xdr:colOff>622300</xdr:colOff>
          <xdr:row>91</xdr:row>
          <xdr:rowOff>12700</xdr:rowOff>
        </xdr:to>
        <xdr:sp macro="" textlink="">
          <xdr:nvSpPr>
            <xdr:cNvPr id="9422" name="Check Box 206" hidden="1">
              <a:extLst>
                <a:ext uri="{63B3BB69-23CF-44E3-9099-C40C66FF867C}">
                  <a14:compatExt spid="_x0000_s9422"/>
                </a:ext>
                <a:ext uri="{FF2B5EF4-FFF2-40B4-BE49-F238E27FC236}">
                  <a16:creationId xmlns:a16="http://schemas.microsoft.com/office/drawing/2014/main" id="{00000000-0008-0000-0100-0000CE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38100</xdr:colOff>
          <xdr:row>90</xdr:row>
          <xdr:rowOff>381000</xdr:rowOff>
        </xdr:to>
        <xdr:sp macro="" textlink="">
          <xdr:nvSpPr>
            <xdr:cNvPr id="9423" name="Check Box 207" hidden="1">
              <a:extLst>
                <a:ext uri="{63B3BB69-23CF-44E3-9099-C40C66FF867C}">
                  <a14:compatExt spid="_x0000_s9423"/>
                </a:ext>
                <a:ext uri="{FF2B5EF4-FFF2-40B4-BE49-F238E27FC236}">
                  <a16:creationId xmlns:a16="http://schemas.microsoft.com/office/drawing/2014/main" id="{00000000-0008-0000-0100-0000CF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79</xdr:row>
          <xdr:rowOff>1066800</xdr:rowOff>
        </xdr:from>
        <xdr:to>
          <xdr:col>5</xdr:col>
          <xdr:colOff>139700</xdr:colOff>
          <xdr:row>79</xdr:row>
          <xdr:rowOff>1295400</xdr:rowOff>
        </xdr:to>
        <xdr:sp macro="" textlink="">
          <xdr:nvSpPr>
            <xdr:cNvPr id="9448" name="Check Box 232" hidden="1">
              <a:extLst>
                <a:ext uri="{63B3BB69-23CF-44E3-9099-C40C66FF867C}">
                  <a14:compatExt spid="_x0000_s9448"/>
                </a:ext>
                <a:ext uri="{FF2B5EF4-FFF2-40B4-BE49-F238E27FC236}">
                  <a16:creationId xmlns:a16="http://schemas.microsoft.com/office/drawing/2014/main" id="{00000000-0008-0000-0100-0000E8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79</xdr:row>
          <xdr:rowOff>1066800</xdr:rowOff>
        </xdr:from>
        <xdr:to>
          <xdr:col>5</xdr:col>
          <xdr:colOff>647700</xdr:colOff>
          <xdr:row>79</xdr:row>
          <xdr:rowOff>1308100</xdr:rowOff>
        </xdr:to>
        <xdr:sp macro="" textlink="">
          <xdr:nvSpPr>
            <xdr:cNvPr id="9449" name="Check Box 233" hidden="1">
              <a:extLst>
                <a:ext uri="{63B3BB69-23CF-44E3-9099-C40C66FF867C}">
                  <a14:compatExt spid="_x0000_s9449"/>
                </a:ext>
                <a:ext uri="{FF2B5EF4-FFF2-40B4-BE49-F238E27FC236}">
                  <a16:creationId xmlns:a16="http://schemas.microsoft.com/office/drawing/2014/main" id="{00000000-0008-0000-0100-0000E9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12700</xdr:colOff>
          <xdr:row>88</xdr:row>
          <xdr:rowOff>88900</xdr:rowOff>
        </xdr:from>
        <xdr:to>
          <xdr:col>4</xdr:col>
          <xdr:colOff>660400</xdr:colOff>
          <xdr:row>88</xdr:row>
          <xdr:rowOff>330200</xdr:rowOff>
        </xdr:to>
        <xdr:sp macro="" textlink="">
          <xdr:nvSpPr>
            <xdr:cNvPr id="9450" name="Check Box 234" hidden="1">
              <a:extLst>
                <a:ext uri="{63B3BB69-23CF-44E3-9099-C40C66FF867C}">
                  <a14:compatExt spid="_x0000_s9450"/>
                </a:ext>
                <a:ext uri="{FF2B5EF4-FFF2-40B4-BE49-F238E27FC236}">
                  <a16:creationId xmlns:a16="http://schemas.microsoft.com/office/drawing/2014/main" id="{00000000-0008-0000-0100-0000EA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673100</xdr:colOff>
          <xdr:row>88</xdr:row>
          <xdr:rowOff>76200</xdr:rowOff>
        </xdr:from>
        <xdr:to>
          <xdr:col>5</xdr:col>
          <xdr:colOff>609600</xdr:colOff>
          <xdr:row>88</xdr:row>
          <xdr:rowOff>317500</xdr:rowOff>
        </xdr:to>
        <xdr:sp macro="" textlink="">
          <xdr:nvSpPr>
            <xdr:cNvPr id="9451" name="Check Box 235" hidden="1">
              <a:extLst>
                <a:ext uri="{63B3BB69-23CF-44E3-9099-C40C66FF867C}">
                  <a14:compatExt spid="_x0000_s9451"/>
                </a:ext>
                <a:ext uri="{FF2B5EF4-FFF2-40B4-BE49-F238E27FC236}">
                  <a16:creationId xmlns:a16="http://schemas.microsoft.com/office/drawing/2014/main" id="{00000000-0008-0000-0100-0000EB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25400</xdr:colOff>
          <xdr:row>88</xdr:row>
          <xdr:rowOff>76200</xdr:rowOff>
        </xdr:from>
        <xdr:to>
          <xdr:col>6</xdr:col>
          <xdr:colOff>685800</xdr:colOff>
          <xdr:row>88</xdr:row>
          <xdr:rowOff>317500</xdr:rowOff>
        </xdr:to>
        <xdr:sp macro="" textlink="">
          <xdr:nvSpPr>
            <xdr:cNvPr id="9452" name="Check Box 236" hidden="1">
              <a:extLst>
                <a:ext uri="{63B3BB69-23CF-44E3-9099-C40C66FF867C}">
                  <a14:compatExt spid="_x0000_s9452"/>
                </a:ext>
                <a:ext uri="{FF2B5EF4-FFF2-40B4-BE49-F238E27FC236}">
                  <a16:creationId xmlns:a16="http://schemas.microsoft.com/office/drawing/2014/main" id="{00000000-0008-0000-0100-0000EC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77</xdr:row>
          <xdr:rowOff>25400</xdr:rowOff>
        </xdr:from>
        <xdr:to>
          <xdr:col>4</xdr:col>
          <xdr:colOff>647700</xdr:colOff>
          <xdr:row>78</xdr:row>
          <xdr:rowOff>25400</xdr:rowOff>
        </xdr:to>
        <xdr:sp macro="" textlink="">
          <xdr:nvSpPr>
            <xdr:cNvPr id="9453" name="Check Box 237" hidden="1">
              <a:extLst>
                <a:ext uri="{63B3BB69-23CF-44E3-9099-C40C66FF867C}">
                  <a14:compatExt spid="_x0000_s9453"/>
                </a:ext>
                <a:ext uri="{FF2B5EF4-FFF2-40B4-BE49-F238E27FC236}">
                  <a16:creationId xmlns:a16="http://schemas.microsoft.com/office/drawing/2014/main" id="{00000000-0008-0000-0100-0000ED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12700</xdr:colOff>
          <xdr:row>77</xdr:row>
          <xdr:rowOff>12700</xdr:rowOff>
        </xdr:from>
        <xdr:to>
          <xdr:col>5</xdr:col>
          <xdr:colOff>673100</xdr:colOff>
          <xdr:row>78</xdr:row>
          <xdr:rowOff>25400</xdr:rowOff>
        </xdr:to>
        <xdr:sp macro="" textlink="">
          <xdr:nvSpPr>
            <xdr:cNvPr id="9454" name="Check Box 238" hidden="1">
              <a:extLst>
                <a:ext uri="{63B3BB69-23CF-44E3-9099-C40C66FF867C}">
                  <a14:compatExt spid="_x0000_s9454"/>
                </a:ext>
                <a:ext uri="{FF2B5EF4-FFF2-40B4-BE49-F238E27FC236}">
                  <a16:creationId xmlns:a16="http://schemas.microsoft.com/office/drawing/2014/main" id="{00000000-0008-0000-0100-0000EE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25400</xdr:colOff>
          <xdr:row>79</xdr:row>
          <xdr:rowOff>1066800</xdr:rowOff>
        </xdr:from>
        <xdr:to>
          <xdr:col>6</xdr:col>
          <xdr:colOff>673100</xdr:colOff>
          <xdr:row>79</xdr:row>
          <xdr:rowOff>1308100</xdr:rowOff>
        </xdr:to>
        <xdr:sp macro="" textlink="">
          <xdr:nvSpPr>
            <xdr:cNvPr id="9455" name="Check Box 239" hidden="1">
              <a:extLst>
                <a:ext uri="{63B3BB69-23CF-44E3-9099-C40C66FF867C}">
                  <a14:compatExt spid="_x0000_s9455"/>
                </a:ext>
                <a:ext uri="{FF2B5EF4-FFF2-40B4-BE49-F238E27FC236}">
                  <a16:creationId xmlns:a16="http://schemas.microsoft.com/office/drawing/2014/main" id="{00000000-0008-0000-0100-0000EF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12700</xdr:colOff>
          <xdr:row>77</xdr:row>
          <xdr:rowOff>12700</xdr:rowOff>
        </xdr:from>
        <xdr:to>
          <xdr:col>7</xdr:col>
          <xdr:colOff>25400</xdr:colOff>
          <xdr:row>78</xdr:row>
          <xdr:rowOff>12700</xdr:rowOff>
        </xdr:to>
        <xdr:sp macro="" textlink="">
          <xdr:nvSpPr>
            <xdr:cNvPr id="9456" name="Check Box 240" hidden="1">
              <a:extLst>
                <a:ext uri="{63B3BB69-23CF-44E3-9099-C40C66FF867C}">
                  <a14:compatExt spid="_x0000_s9456"/>
                </a:ext>
                <a:ext uri="{FF2B5EF4-FFF2-40B4-BE49-F238E27FC236}">
                  <a16:creationId xmlns:a16="http://schemas.microsoft.com/office/drawing/2014/main" id="{00000000-0008-0000-0100-0000F0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65</xdr:row>
          <xdr:rowOff>228600</xdr:rowOff>
        </xdr:from>
        <xdr:to>
          <xdr:col>4</xdr:col>
          <xdr:colOff>647700</xdr:colOff>
          <xdr:row>65</xdr:row>
          <xdr:rowOff>469900</xdr:rowOff>
        </xdr:to>
        <xdr:sp macro="" textlink="">
          <xdr:nvSpPr>
            <xdr:cNvPr id="9457" name="Check Box 241" hidden="1">
              <a:extLst>
                <a:ext uri="{63B3BB69-23CF-44E3-9099-C40C66FF867C}">
                  <a14:compatExt spid="_x0000_s9457"/>
                </a:ext>
                <a:ext uri="{FF2B5EF4-FFF2-40B4-BE49-F238E27FC236}">
                  <a16:creationId xmlns:a16="http://schemas.microsoft.com/office/drawing/2014/main" id="{00000000-0008-0000-0100-0000F1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50800</xdr:colOff>
          <xdr:row>68</xdr:row>
          <xdr:rowOff>254000</xdr:rowOff>
        </xdr:from>
        <xdr:to>
          <xdr:col>4</xdr:col>
          <xdr:colOff>660400</xdr:colOff>
          <xdr:row>68</xdr:row>
          <xdr:rowOff>495300</xdr:rowOff>
        </xdr:to>
        <xdr:sp macro="" textlink="">
          <xdr:nvSpPr>
            <xdr:cNvPr id="9458" name="Check Box 242" hidden="1">
              <a:extLst>
                <a:ext uri="{63B3BB69-23CF-44E3-9099-C40C66FF867C}">
                  <a14:compatExt spid="_x0000_s9458"/>
                </a:ext>
                <a:ext uri="{FF2B5EF4-FFF2-40B4-BE49-F238E27FC236}">
                  <a16:creationId xmlns:a16="http://schemas.microsoft.com/office/drawing/2014/main" id="{00000000-0008-0000-0100-0000F2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69</xdr:row>
          <xdr:rowOff>215900</xdr:rowOff>
        </xdr:from>
        <xdr:to>
          <xdr:col>4</xdr:col>
          <xdr:colOff>660400</xdr:colOff>
          <xdr:row>69</xdr:row>
          <xdr:rowOff>457200</xdr:rowOff>
        </xdr:to>
        <xdr:sp macro="" textlink="">
          <xdr:nvSpPr>
            <xdr:cNvPr id="9459" name="Check Box 243" hidden="1">
              <a:extLst>
                <a:ext uri="{63B3BB69-23CF-44E3-9099-C40C66FF867C}">
                  <a14:compatExt spid="_x0000_s9459"/>
                </a:ext>
                <a:ext uri="{FF2B5EF4-FFF2-40B4-BE49-F238E27FC236}">
                  <a16:creationId xmlns:a16="http://schemas.microsoft.com/office/drawing/2014/main" id="{00000000-0008-0000-0100-0000F3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65</xdr:row>
          <xdr:rowOff>228600</xdr:rowOff>
        </xdr:from>
        <xdr:to>
          <xdr:col>5</xdr:col>
          <xdr:colOff>660400</xdr:colOff>
          <xdr:row>65</xdr:row>
          <xdr:rowOff>469900</xdr:rowOff>
        </xdr:to>
        <xdr:sp macro="" textlink="">
          <xdr:nvSpPr>
            <xdr:cNvPr id="9460" name="Check Box 244" hidden="1">
              <a:extLst>
                <a:ext uri="{63B3BB69-23CF-44E3-9099-C40C66FF867C}">
                  <a14:compatExt spid="_x0000_s9460"/>
                </a:ext>
                <a:ext uri="{FF2B5EF4-FFF2-40B4-BE49-F238E27FC236}">
                  <a16:creationId xmlns:a16="http://schemas.microsoft.com/office/drawing/2014/main" id="{00000000-0008-0000-0100-0000F4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68</xdr:row>
          <xdr:rowOff>241300</xdr:rowOff>
        </xdr:from>
        <xdr:to>
          <xdr:col>6</xdr:col>
          <xdr:colOff>0</xdr:colOff>
          <xdr:row>68</xdr:row>
          <xdr:rowOff>482600</xdr:rowOff>
        </xdr:to>
        <xdr:sp macro="" textlink="">
          <xdr:nvSpPr>
            <xdr:cNvPr id="9461" name="Check Box 245" hidden="1">
              <a:extLst>
                <a:ext uri="{63B3BB69-23CF-44E3-9099-C40C66FF867C}">
                  <a14:compatExt spid="_x0000_s9461"/>
                </a:ext>
                <a:ext uri="{FF2B5EF4-FFF2-40B4-BE49-F238E27FC236}">
                  <a16:creationId xmlns:a16="http://schemas.microsoft.com/office/drawing/2014/main" id="{00000000-0008-0000-0100-0000F5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69</xdr:row>
          <xdr:rowOff>190500</xdr:rowOff>
        </xdr:from>
        <xdr:to>
          <xdr:col>6</xdr:col>
          <xdr:colOff>190500</xdr:colOff>
          <xdr:row>69</xdr:row>
          <xdr:rowOff>444500</xdr:rowOff>
        </xdr:to>
        <xdr:sp macro="" textlink="">
          <xdr:nvSpPr>
            <xdr:cNvPr id="9462" name="Check Box 246" hidden="1">
              <a:extLst>
                <a:ext uri="{63B3BB69-23CF-44E3-9099-C40C66FF867C}">
                  <a14:compatExt spid="_x0000_s9462"/>
                </a:ext>
                <a:ext uri="{FF2B5EF4-FFF2-40B4-BE49-F238E27FC236}">
                  <a16:creationId xmlns:a16="http://schemas.microsoft.com/office/drawing/2014/main" id="{00000000-0008-0000-0100-0000F6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50800</xdr:colOff>
          <xdr:row>65</xdr:row>
          <xdr:rowOff>215900</xdr:rowOff>
        </xdr:from>
        <xdr:to>
          <xdr:col>7</xdr:col>
          <xdr:colOff>12700</xdr:colOff>
          <xdr:row>65</xdr:row>
          <xdr:rowOff>457200</xdr:rowOff>
        </xdr:to>
        <xdr:sp macro="" textlink="">
          <xdr:nvSpPr>
            <xdr:cNvPr id="9463" name="Check Box 247" hidden="1">
              <a:extLst>
                <a:ext uri="{63B3BB69-23CF-44E3-9099-C40C66FF867C}">
                  <a14:compatExt spid="_x0000_s9463"/>
                </a:ext>
                <a:ext uri="{FF2B5EF4-FFF2-40B4-BE49-F238E27FC236}">
                  <a16:creationId xmlns:a16="http://schemas.microsoft.com/office/drawing/2014/main" id="{00000000-0008-0000-0100-0000F7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63500</xdr:colOff>
          <xdr:row>68</xdr:row>
          <xdr:rowOff>254000</xdr:rowOff>
        </xdr:from>
        <xdr:to>
          <xdr:col>6</xdr:col>
          <xdr:colOff>660400</xdr:colOff>
          <xdr:row>68</xdr:row>
          <xdr:rowOff>495300</xdr:rowOff>
        </xdr:to>
        <xdr:sp macro="" textlink="">
          <xdr:nvSpPr>
            <xdr:cNvPr id="9464" name="Check Box 248" hidden="1">
              <a:extLst>
                <a:ext uri="{63B3BB69-23CF-44E3-9099-C40C66FF867C}">
                  <a14:compatExt spid="_x0000_s9464"/>
                </a:ext>
                <a:ext uri="{FF2B5EF4-FFF2-40B4-BE49-F238E27FC236}">
                  <a16:creationId xmlns:a16="http://schemas.microsoft.com/office/drawing/2014/main" id="{00000000-0008-0000-0100-0000F8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69</xdr:row>
          <xdr:rowOff>215900</xdr:rowOff>
        </xdr:from>
        <xdr:to>
          <xdr:col>6</xdr:col>
          <xdr:colOff>622300</xdr:colOff>
          <xdr:row>69</xdr:row>
          <xdr:rowOff>457200</xdr:rowOff>
        </xdr:to>
        <xdr:sp macro="" textlink="">
          <xdr:nvSpPr>
            <xdr:cNvPr id="9465" name="Check Box 249" hidden="1">
              <a:extLst>
                <a:ext uri="{63B3BB69-23CF-44E3-9099-C40C66FF867C}">
                  <a14:compatExt spid="_x0000_s9465"/>
                </a:ext>
                <a:ext uri="{FF2B5EF4-FFF2-40B4-BE49-F238E27FC236}">
                  <a16:creationId xmlns:a16="http://schemas.microsoft.com/office/drawing/2014/main" id="{00000000-0008-0000-0100-0000F9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0</xdr:colOff>
          <xdr:row>7</xdr:row>
          <xdr:rowOff>0</xdr:rowOff>
        </xdr:from>
        <xdr:to>
          <xdr:col>5</xdr:col>
          <xdr:colOff>0</xdr:colOff>
          <xdr:row>8</xdr:row>
          <xdr:rowOff>0</xdr:rowOff>
        </xdr:to>
        <xdr:sp macro="" textlink="">
          <xdr:nvSpPr>
            <xdr:cNvPr id="7522" name="Check Box 354" hidden="1">
              <a:extLst>
                <a:ext uri="{63B3BB69-23CF-44E3-9099-C40C66FF867C}">
                  <a14:compatExt spid="_x0000_s7522"/>
                </a:ext>
                <a:ext uri="{FF2B5EF4-FFF2-40B4-BE49-F238E27FC236}">
                  <a16:creationId xmlns:a16="http://schemas.microsoft.com/office/drawing/2014/main" id="{00000000-0008-0000-0400-0000621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0</xdr:colOff>
          <xdr:row>8</xdr:row>
          <xdr:rowOff>0</xdr:rowOff>
        </xdr:to>
        <xdr:sp macro="" textlink="">
          <xdr:nvSpPr>
            <xdr:cNvPr id="7523" name="Check Box 355" hidden="1">
              <a:extLst>
                <a:ext uri="{63B3BB69-23CF-44E3-9099-C40C66FF867C}">
                  <a14:compatExt spid="_x0000_s7523"/>
                </a:ext>
                <a:ext uri="{FF2B5EF4-FFF2-40B4-BE49-F238E27FC236}">
                  <a16:creationId xmlns:a16="http://schemas.microsoft.com/office/drawing/2014/main" id="{00000000-0008-0000-0400-0000631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6</xdr:col>
          <xdr:colOff>685800</xdr:colOff>
          <xdr:row>8</xdr:row>
          <xdr:rowOff>0</xdr:rowOff>
        </xdr:to>
        <xdr:sp macro="" textlink="">
          <xdr:nvSpPr>
            <xdr:cNvPr id="7524" name="Check Box 356" hidden="1">
              <a:extLst>
                <a:ext uri="{63B3BB69-23CF-44E3-9099-C40C66FF867C}">
                  <a14:compatExt spid="_x0000_s7524"/>
                </a:ext>
                <a:ext uri="{FF2B5EF4-FFF2-40B4-BE49-F238E27FC236}">
                  <a16:creationId xmlns:a16="http://schemas.microsoft.com/office/drawing/2014/main" id="{00000000-0008-0000-0400-0000641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7</xdr:row>
          <xdr:rowOff>228600</xdr:rowOff>
        </xdr:from>
        <xdr:to>
          <xdr:col>5</xdr:col>
          <xdr:colOff>0</xdr:colOff>
          <xdr:row>9</xdr:row>
          <xdr:rowOff>0</xdr:rowOff>
        </xdr:to>
        <xdr:sp macro="" textlink="">
          <xdr:nvSpPr>
            <xdr:cNvPr id="7525" name="Check Box 357" hidden="1">
              <a:extLst>
                <a:ext uri="{63B3BB69-23CF-44E3-9099-C40C66FF867C}">
                  <a14:compatExt spid="_x0000_s7525"/>
                </a:ext>
                <a:ext uri="{FF2B5EF4-FFF2-40B4-BE49-F238E27FC236}">
                  <a16:creationId xmlns:a16="http://schemas.microsoft.com/office/drawing/2014/main" id="{00000000-0008-0000-0400-0000651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228600</xdr:rowOff>
        </xdr:from>
        <xdr:to>
          <xdr:col>6</xdr:col>
          <xdr:colOff>0</xdr:colOff>
          <xdr:row>9</xdr:row>
          <xdr:rowOff>0</xdr:rowOff>
        </xdr:to>
        <xdr:sp macro="" textlink="">
          <xdr:nvSpPr>
            <xdr:cNvPr id="7526" name="Check Box 358" hidden="1">
              <a:extLst>
                <a:ext uri="{63B3BB69-23CF-44E3-9099-C40C66FF867C}">
                  <a14:compatExt spid="_x0000_s7526"/>
                </a:ext>
                <a:ext uri="{FF2B5EF4-FFF2-40B4-BE49-F238E27FC236}">
                  <a16:creationId xmlns:a16="http://schemas.microsoft.com/office/drawing/2014/main" id="{00000000-0008-0000-0400-0000661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228600</xdr:rowOff>
        </xdr:from>
        <xdr:to>
          <xdr:col>6</xdr:col>
          <xdr:colOff>685800</xdr:colOff>
          <xdr:row>9</xdr:row>
          <xdr:rowOff>0</xdr:rowOff>
        </xdr:to>
        <xdr:sp macro="" textlink="">
          <xdr:nvSpPr>
            <xdr:cNvPr id="7528" name="Check Box 360" hidden="1">
              <a:extLst>
                <a:ext uri="{63B3BB69-23CF-44E3-9099-C40C66FF867C}">
                  <a14:compatExt spid="_x0000_s7528"/>
                </a:ext>
                <a:ext uri="{FF2B5EF4-FFF2-40B4-BE49-F238E27FC236}">
                  <a16:creationId xmlns:a16="http://schemas.microsoft.com/office/drawing/2014/main" id="{00000000-0008-0000-0400-0000681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9</xdr:row>
          <xdr:rowOff>0</xdr:rowOff>
        </xdr:from>
        <xdr:to>
          <xdr:col>5</xdr:col>
          <xdr:colOff>0</xdr:colOff>
          <xdr:row>10</xdr:row>
          <xdr:rowOff>0</xdr:rowOff>
        </xdr:to>
        <xdr:sp macro="" textlink="">
          <xdr:nvSpPr>
            <xdr:cNvPr id="7529" name="Check Box 361" hidden="1">
              <a:extLst>
                <a:ext uri="{63B3BB69-23CF-44E3-9099-C40C66FF867C}">
                  <a14:compatExt spid="_x0000_s7529"/>
                </a:ext>
                <a:ext uri="{FF2B5EF4-FFF2-40B4-BE49-F238E27FC236}">
                  <a16:creationId xmlns:a16="http://schemas.microsoft.com/office/drawing/2014/main" id="{00000000-0008-0000-0400-0000691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xdr:row>
          <xdr:rowOff>0</xdr:rowOff>
        </xdr:from>
        <xdr:to>
          <xdr:col>6</xdr:col>
          <xdr:colOff>0</xdr:colOff>
          <xdr:row>10</xdr:row>
          <xdr:rowOff>0</xdr:rowOff>
        </xdr:to>
        <xdr:sp macro="" textlink="">
          <xdr:nvSpPr>
            <xdr:cNvPr id="7530" name="Check Box 362" hidden="1">
              <a:extLst>
                <a:ext uri="{63B3BB69-23CF-44E3-9099-C40C66FF867C}">
                  <a14:compatExt spid="_x0000_s7530"/>
                </a:ext>
                <a:ext uri="{FF2B5EF4-FFF2-40B4-BE49-F238E27FC236}">
                  <a16:creationId xmlns:a16="http://schemas.microsoft.com/office/drawing/2014/main" id="{00000000-0008-0000-0400-00006A1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6</xdr:col>
          <xdr:colOff>685800</xdr:colOff>
          <xdr:row>10</xdr:row>
          <xdr:rowOff>0</xdr:rowOff>
        </xdr:to>
        <xdr:sp macro="" textlink="">
          <xdr:nvSpPr>
            <xdr:cNvPr id="7531" name="Check Box 363" hidden="1">
              <a:extLst>
                <a:ext uri="{63B3BB69-23CF-44E3-9099-C40C66FF867C}">
                  <a14:compatExt spid="_x0000_s7531"/>
                </a:ext>
                <a:ext uri="{FF2B5EF4-FFF2-40B4-BE49-F238E27FC236}">
                  <a16:creationId xmlns:a16="http://schemas.microsoft.com/office/drawing/2014/main" id="{00000000-0008-0000-0400-00006B1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xdr:row>
          <xdr:rowOff>0</xdr:rowOff>
        </xdr:from>
        <xdr:to>
          <xdr:col>5</xdr:col>
          <xdr:colOff>0</xdr:colOff>
          <xdr:row>11</xdr:row>
          <xdr:rowOff>0</xdr:rowOff>
        </xdr:to>
        <xdr:sp macro="" textlink="">
          <xdr:nvSpPr>
            <xdr:cNvPr id="7532" name="Check Box 364" hidden="1">
              <a:extLst>
                <a:ext uri="{63B3BB69-23CF-44E3-9099-C40C66FF867C}">
                  <a14:compatExt spid="_x0000_s7532"/>
                </a:ext>
                <a:ext uri="{FF2B5EF4-FFF2-40B4-BE49-F238E27FC236}">
                  <a16:creationId xmlns:a16="http://schemas.microsoft.com/office/drawing/2014/main" id="{00000000-0008-0000-0400-00006C1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xdr:row>
          <xdr:rowOff>0</xdr:rowOff>
        </xdr:from>
        <xdr:to>
          <xdr:col>6</xdr:col>
          <xdr:colOff>0</xdr:colOff>
          <xdr:row>11</xdr:row>
          <xdr:rowOff>0</xdr:rowOff>
        </xdr:to>
        <xdr:sp macro="" textlink="">
          <xdr:nvSpPr>
            <xdr:cNvPr id="7533" name="Check Box 365" hidden="1">
              <a:extLst>
                <a:ext uri="{63B3BB69-23CF-44E3-9099-C40C66FF867C}">
                  <a14:compatExt spid="_x0000_s7533"/>
                </a:ext>
                <a:ext uri="{FF2B5EF4-FFF2-40B4-BE49-F238E27FC236}">
                  <a16:creationId xmlns:a16="http://schemas.microsoft.com/office/drawing/2014/main" id="{00000000-0008-0000-0400-00006D1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6</xdr:col>
          <xdr:colOff>685800</xdr:colOff>
          <xdr:row>11</xdr:row>
          <xdr:rowOff>0</xdr:rowOff>
        </xdr:to>
        <xdr:sp macro="" textlink="">
          <xdr:nvSpPr>
            <xdr:cNvPr id="7534" name="Check Box 366" hidden="1">
              <a:extLst>
                <a:ext uri="{63B3BB69-23CF-44E3-9099-C40C66FF867C}">
                  <a14:compatExt spid="_x0000_s7534"/>
                </a:ext>
                <a:ext uri="{FF2B5EF4-FFF2-40B4-BE49-F238E27FC236}">
                  <a16:creationId xmlns:a16="http://schemas.microsoft.com/office/drawing/2014/main" id="{00000000-0008-0000-0400-00006E1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11</xdr:row>
          <xdr:rowOff>0</xdr:rowOff>
        </xdr:from>
        <xdr:to>
          <xdr:col>5</xdr:col>
          <xdr:colOff>0</xdr:colOff>
          <xdr:row>12</xdr:row>
          <xdr:rowOff>0</xdr:rowOff>
        </xdr:to>
        <xdr:sp macro="" textlink="">
          <xdr:nvSpPr>
            <xdr:cNvPr id="7535" name="Check Box 367" hidden="1">
              <a:extLst>
                <a:ext uri="{63B3BB69-23CF-44E3-9099-C40C66FF867C}">
                  <a14:compatExt spid="_x0000_s7535"/>
                </a:ext>
                <a:ext uri="{FF2B5EF4-FFF2-40B4-BE49-F238E27FC236}">
                  <a16:creationId xmlns:a16="http://schemas.microsoft.com/office/drawing/2014/main" id="{00000000-0008-0000-0400-00006F1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0</xdr:colOff>
          <xdr:row>12</xdr:row>
          <xdr:rowOff>0</xdr:rowOff>
        </xdr:to>
        <xdr:sp macro="" textlink="">
          <xdr:nvSpPr>
            <xdr:cNvPr id="7536" name="Check Box 368" hidden="1">
              <a:extLst>
                <a:ext uri="{63B3BB69-23CF-44E3-9099-C40C66FF867C}">
                  <a14:compatExt spid="_x0000_s7536"/>
                </a:ext>
                <a:ext uri="{FF2B5EF4-FFF2-40B4-BE49-F238E27FC236}">
                  <a16:creationId xmlns:a16="http://schemas.microsoft.com/office/drawing/2014/main" id="{00000000-0008-0000-0400-0000701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6</xdr:col>
          <xdr:colOff>685800</xdr:colOff>
          <xdr:row>12</xdr:row>
          <xdr:rowOff>0</xdr:rowOff>
        </xdr:to>
        <xdr:sp macro="" textlink="">
          <xdr:nvSpPr>
            <xdr:cNvPr id="7537" name="Check Box 369" hidden="1">
              <a:extLst>
                <a:ext uri="{63B3BB69-23CF-44E3-9099-C40C66FF867C}">
                  <a14:compatExt spid="_x0000_s7537"/>
                </a:ext>
                <a:ext uri="{FF2B5EF4-FFF2-40B4-BE49-F238E27FC236}">
                  <a16:creationId xmlns:a16="http://schemas.microsoft.com/office/drawing/2014/main" id="{00000000-0008-0000-0400-0000711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12</xdr:row>
          <xdr:rowOff>0</xdr:rowOff>
        </xdr:from>
        <xdr:to>
          <xdr:col>5</xdr:col>
          <xdr:colOff>0</xdr:colOff>
          <xdr:row>13</xdr:row>
          <xdr:rowOff>0</xdr:rowOff>
        </xdr:to>
        <xdr:sp macro="" textlink="">
          <xdr:nvSpPr>
            <xdr:cNvPr id="7538" name="Check Box 370" hidden="1">
              <a:extLst>
                <a:ext uri="{63B3BB69-23CF-44E3-9099-C40C66FF867C}">
                  <a14:compatExt spid="_x0000_s7538"/>
                </a:ext>
                <a:ext uri="{FF2B5EF4-FFF2-40B4-BE49-F238E27FC236}">
                  <a16:creationId xmlns:a16="http://schemas.microsoft.com/office/drawing/2014/main" id="{00000000-0008-0000-0400-0000721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0</xdr:colOff>
          <xdr:row>13</xdr:row>
          <xdr:rowOff>0</xdr:rowOff>
        </xdr:to>
        <xdr:sp macro="" textlink="">
          <xdr:nvSpPr>
            <xdr:cNvPr id="7539" name="Check Box 371" hidden="1">
              <a:extLst>
                <a:ext uri="{63B3BB69-23CF-44E3-9099-C40C66FF867C}">
                  <a14:compatExt spid="_x0000_s7539"/>
                </a:ext>
                <a:ext uri="{FF2B5EF4-FFF2-40B4-BE49-F238E27FC236}">
                  <a16:creationId xmlns:a16="http://schemas.microsoft.com/office/drawing/2014/main" id="{00000000-0008-0000-0400-0000731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6</xdr:col>
          <xdr:colOff>685800</xdr:colOff>
          <xdr:row>13</xdr:row>
          <xdr:rowOff>0</xdr:rowOff>
        </xdr:to>
        <xdr:sp macro="" textlink="">
          <xdr:nvSpPr>
            <xdr:cNvPr id="7540" name="Check Box 372" hidden="1">
              <a:extLst>
                <a:ext uri="{63B3BB69-23CF-44E3-9099-C40C66FF867C}">
                  <a14:compatExt spid="_x0000_s7540"/>
                </a:ext>
                <a:ext uri="{FF2B5EF4-FFF2-40B4-BE49-F238E27FC236}">
                  <a16:creationId xmlns:a16="http://schemas.microsoft.com/office/drawing/2014/main" id="{00000000-0008-0000-0400-0000741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12</xdr:row>
          <xdr:rowOff>228600</xdr:rowOff>
        </xdr:from>
        <xdr:to>
          <xdr:col>5</xdr:col>
          <xdr:colOff>0</xdr:colOff>
          <xdr:row>14</xdr:row>
          <xdr:rowOff>0</xdr:rowOff>
        </xdr:to>
        <xdr:sp macro="" textlink="">
          <xdr:nvSpPr>
            <xdr:cNvPr id="7541" name="Check Box 373" hidden="1">
              <a:extLst>
                <a:ext uri="{63B3BB69-23CF-44E3-9099-C40C66FF867C}">
                  <a14:compatExt spid="_x0000_s7541"/>
                </a:ext>
                <a:ext uri="{FF2B5EF4-FFF2-40B4-BE49-F238E27FC236}">
                  <a16:creationId xmlns:a16="http://schemas.microsoft.com/office/drawing/2014/main" id="{00000000-0008-0000-0400-0000751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228600</xdr:rowOff>
        </xdr:from>
        <xdr:to>
          <xdr:col>6</xdr:col>
          <xdr:colOff>0</xdr:colOff>
          <xdr:row>14</xdr:row>
          <xdr:rowOff>0</xdr:rowOff>
        </xdr:to>
        <xdr:sp macro="" textlink="">
          <xdr:nvSpPr>
            <xdr:cNvPr id="7542" name="Check Box 374" hidden="1">
              <a:extLst>
                <a:ext uri="{63B3BB69-23CF-44E3-9099-C40C66FF867C}">
                  <a14:compatExt spid="_x0000_s7542"/>
                </a:ext>
                <a:ext uri="{FF2B5EF4-FFF2-40B4-BE49-F238E27FC236}">
                  <a16:creationId xmlns:a16="http://schemas.microsoft.com/office/drawing/2014/main" id="{00000000-0008-0000-0400-0000761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228600</xdr:rowOff>
        </xdr:from>
        <xdr:to>
          <xdr:col>6</xdr:col>
          <xdr:colOff>685800</xdr:colOff>
          <xdr:row>14</xdr:row>
          <xdr:rowOff>0</xdr:rowOff>
        </xdr:to>
        <xdr:sp macro="" textlink="">
          <xdr:nvSpPr>
            <xdr:cNvPr id="7543" name="Check Box 375" hidden="1">
              <a:extLst>
                <a:ext uri="{63B3BB69-23CF-44E3-9099-C40C66FF867C}">
                  <a14:compatExt spid="_x0000_s7543"/>
                </a:ext>
                <a:ext uri="{FF2B5EF4-FFF2-40B4-BE49-F238E27FC236}">
                  <a16:creationId xmlns:a16="http://schemas.microsoft.com/office/drawing/2014/main" id="{00000000-0008-0000-0400-0000771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14</xdr:row>
          <xdr:rowOff>0</xdr:rowOff>
        </xdr:from>
        <xdr:to>
          <xdr:col>5</xdr:col>
          <xdr:colOff>0</xdr:colOff>
          <xdr:row>15</xdr:row>
          <xdr:rowOff>0</xdr:rowOff>
        </xdr:to>
        <xdr:sp macro="" textlink="">
          <xdr:nvSpPr>
            <xdr:cNvPr id="7544" name="Check Box 376" hidden="1">
              <a:extLst>
                <a:ext uri="{63B3BB69-23CF-44E3-9099-C40C66FF867C}">
                  <a14:compatExt spid="_x0000_s7544"/>
                </a:ext>
                <a:ext uri="{FF2B5EF4-FFF2-40B4-BE49-F238E27FC236}">
                  <a16:creationId xmlns:a16="http://schemas.microsoft.com/office/drawing/2014/main" id="{00000000-0008-0000-0400-0000781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0</xdr:colOff>
          <xdr:row>15</xdr:row>
          <xdr:rowOff>0</xdr:rowOff>
        </xdr:to>
        <xdr:sp macro="" textlink="">
          <xdr:nvSpPr>
            <xdr:cNvPr id="7545" name="Check Box 377" hidden="1">
              <a:extLst>
                <a:ext uri="{63B3BB69-23CF-44E3-9099-C40C66FF867C}">
                  <a14:compatExt spid="_x0000_s7545"/>
                </a:ext>
                <a:ext uri="{FF2B5EF4-FFF2-40B4-BE49-F238E27FC236}">
                  <a16:creationId xmlns:a16="http://schemas.microsoft.com/office/drawing/2014/main" id="{00000000-0008-0000-0400-0000791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6</xdr:col>
          <xdr:colOff>685800</xdr:colOff>
          <xdr:row>15</xdr:row>
          <xdr:rowOff>0</xdr:rowOff>
        </xdr:to>
        <xdr:sp macro="" textlink="">
          <xdr:nvSpPr>
            <xdr:cNvPr id="7546" name="Check Box 378" hidden="1">
              <a:extLst>
                <a:ext uri="{63B3BB69-23CF-44E3-9099-C40C66FF867C}">
                  <a14:compatExt spid="_x0000_s7546"/>
                </a:ext>
                <a:ext uri="{FF2B5EF4-FFF2-40B4-BE49-F238E27FC236}">
                  <a16:creationId xmlns:a16="http://schemas.microsoft.com/office/drawing/2014/main" id="{00000000-0008-0000-0400-00007A1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18</xdr:row>
          <xdr:rowOff>0</xdr:rowOff>
        </xdr:from>
        <xdr:to>
          <xdr:col>5</xdr:col>
          <xdr:colOff>0</xdr:colOff>
          <xdr:row>19</xdr:row>
          <xdr:rowOff>0</xdr:rowOff>
        </xdr:to>
        <xdr:sp macro="" textlink="">
          <xdr:nvSpPr>
            <xdr:cNvPr id="7547" name="Check Box 379" hidden="1">
              <a:extLst>
                <a:ext uri="{63B3BB69-23CF-44E3-9099-C40C66FF867C}">
                  <a14:compatExt spid="_x0000_s7547"/>
                </a:ext>
                <a:ext uri="{FF2B5EF4-FFF2-40B4-BE49-F238E27FC236}">
                  <a16:creationId xmlns:a16="http://schemas.microsoft.com/office/drawing/2014/main" id="{00000000-0008-0000-0400-00007B1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18</xdr:row>
          <xdr:rowOff>0</xdr:rowOff>
        </xdr:from>
        <xdr:to>
          <xdr:col>6</xdr:col>
          <xdr:colOff>0</xdr:colOff>
          <xdr:row>19</xdr:row>
          <xdr:rowOff>0</xdr:rowOff>
        </xdr:to>
        <xdr:sp macro="" textlink="">
          <xdr:nvSpPr>
            <xdr:cNvPr id="7548" name="Check Box 380" hidden="1">
              <a:extLst>
                <a:ext uri="{63B3BB69-23CF-44E3-9099-C40C66FF867C}">
                  <a14:compatExt spid="_x0000_s7548"/>
                </a:ext>
                <a:ext uri="{FF2B5EF4-FFF2-40B4-BE49-F238E27FC236}">
                  <a16:creationId xmlns:a16="http://schemas.microsoft.com/office/drawing/2014/main" id="{00000000-0008-0000-0400-00007C1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18</xdr:row>
          <xdr:rowOff>0</xdr:rowOff>
        </xdr:from>
        <xdr:to>
          <xdr:col>6</xdr:col>
          <xdr:colOff>685800</xdr:colOff>
          <xdr:row>19</xdr:row>
          <xdr:rowOff>0</xdr:rowOff>
        </xdr:to>
        <xdr:sp macro="" textlink="">
          <xdr:nvSpPr>
            <xdr:cNvPr id="7549" name="Check Box 381" hidden="1">
              <a:extLst>
                <a:ext uri="{63B3BB69-23CF-44E3-9099-C40C66FF867C}">
                  <a14:compatExt spid="_x0000_s7549"/>
                </a:ext>
                <a:ext uri="{FF2B5EF4-FFF2-40B4-BE49-F238E27FC236}">
                  <a16:creationId xmlns:a16="http://schemas.microsoft.com/office/drawing/2014/main" id="{00000000-0008-0000-0400-00007D1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18</xdr:row>
          <xdr:rowOff>685800</xdr:rowOff>
        </xdr:from>
        <xdr:to>
          <xdr:col>5</xdr:col>
          <xdr:colOff>0</xdr:colOff>
          <xdr:row>20</xdr:row>
          <xdr:rowOff>0</xdr:rowOff>
        </xdr:to>
        <xdr:sp macro="" textlink="">
          <xdr:nvSpPr>
            <xdr:cNvPr id="7550" name="Check Box 382" hidden="1">
              <a:extLst>
                <a:ext uri="{63B3BB69-23CF-44E3-9099-C40C66FF867C}">
                  <a14:compatExt spid="_x0000_s7550"/>
                </a:ext>
                <a:ext uri="{FF2B5EF4-FFF2-40B4-BE49-F238E27FC236}">
                  <a16:creationId xmlns:a16="http://schemas.microsoft.com/office/drawing/2014/main" id="{00000000-0008-0000-0400-00007E1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18</xdr:row>
          <xdr:rowOff>685800</xdr:rowOff>
        </xdr:from>
        <xdr:to>
          <xdr:col>6</xdr:col>
          <xdr:colOff>0</xdr:colOff>
          <xdr:row>20</xdr:row>
          <xdr:rowOff>0</xdr:rowOff>
        </xdr:to>
        <xdr:sp macro="" textlink="">
          <xdr:nvSpPr>
            <xdr:cNvPr id="7551" name="Check Box 383" hidden="1">
              <a:extLst>
                <a:ext uri="{63B3BB69-23CF-44E3-9099-C40C66FF867C}">
                  <a14:compatExt spid="_x0000_s7551"/>
                </a:ext>
                <a:ext uri="{FF2B5EF4-FFF2-40B4-BE49-F238E27FC236}">
                  <a16:creationId xmlns:a16="http://schemas.microsoft.com/office/drawing/2014/main" id="{00000000-0008-0000-0400-00007F1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18</xdr:row>
          <xdr:rowOff>685800</xdr:rowOff>
        </xdr:from>
        <xdr:to>
          <xdr:col>6</xdr:col>
          <xdr:colOff>685800</xdr:colOff>
          <xdr:row>20</xdr:row>
          <xdr:rowOff>0</xdr:rowOff>
        </xdr:to>
        <xdr:sp macro="" textlink="">
          <xdr:nvSpPr>
            <xdr:cNvPr id="7552" name="Check Box 384" hidden="1">
              <a:extLst>
                <a:ext uri="{63B3BB69-23CF-44E3-9099-C40C66FF867C}">
                  <a14:compatExt spid="_x0000_s7552"/>
                </a:ext>
                <a:ext uri="{FF2B5EF4-FFF2-40B4-BE49-F238E27FC236}">
                  <a16:creationId xmlns:a16="http://schemas.microsoft.com/office/drawing/2014/main" id="{00000000-0008-0000-0400-0000801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20</xdr:row>
          <xdr:rowOff>0</xdr:rowOff>
        </xdr:from>
        <xdr:to>
          <xdr:col>5</xdr:col>
          <xdr:colOff>0</xdr:colOff>
          <xdr:row>21</xdr:row>
          <xdr:rowOff>0</xdr:rowOff>
        </xdr:to>
        <xdr:sp macro="" textlink="">
          <xdr:nvSpPr>
            <xdr:cNvPr id="7553" name="Check Box 385" hidden="1">
              <a:extLst>
                <a:ext uri="{63B3BB69-23CF-44E3-9099-C40C66FF867C}">
                  <a14:compatExt spid="_x0000_s7553"/>
                </a:ext>
                <a:ext uri="{FF2B5EF4-FFF2-40B4-BE49-F238E27FC236}">
                  <a16:creationId xmlns:a16="http://schemas.microsoft.com/office/drawing/2014/main" id="{00000000-0008-0000-0400-0000811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20</xdr:row>
          <xdr:rowOff>0</xdr:rowOff>
        </xdr:from>
        <xdr:to>
          <xdr:col>6</xdr:col>
          <xdr:colOff>0</xdr:colOff>
          <xdr:row>21</xdr:row>
          <xdr:rowOff>0</xdr:rowOff>
        </xdr:to>
        <xdr:sp macro="" textlink="">
          <xdr:nvSpPr>
            <xdr:cNvPr id="7554" name="Check Box 386" hidden="1">
              <a:extLst>
                <a:ext uri="{63B3BB69-23CF-44E3-9099-C40C66FF867C}">
                  <a14:compatExt spid="_x0000_s7554"/>
                </a:ext>
                <a:ext uri="{FF2B5EF4-FFF2-40B4-BE49-F238E27FC236}">
                  <a16:creationId xmlns:a16="http://schemas.microsoft.com/office/drawing/2014/main" id="{00000000-0008-0000-0400-0000821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6</xdr:col>
          <xdr:colOff>685800</xdr:colOff>
          <xdr:row>21</xdr:row>
          <xdr:rowOff>0</xdr:rowOff>
        </xdr:to>
        <xdr:sp macro="" textlink="">
          <xdr:nvSpPr>
            <xdr:cNvPr id="7555" name="Check Box 387" hidden="1">
              <a:extLst>
                <a:ext uri="{63B3BB69-23CF-44E3-9099-C40C66FF867C}">
                  <a14:compatExt spid="_x0000_s7555"/>
                </a:ext>
                <a:ext uri="{FF2B5EF4-FFF2-40B4-BE49-F238E27FC236}">
                  <a16:creationId xmlns:a16="http://schemas.microsoft.com/office/drawing/2014/main" id="{00000000-0008-0000-0400-0000831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21</xdr:row>
          <xdr:rowOff>0</xdr:rowOff>
        </xdr:from>
        <xdr:to>
          <xdr:col>5</xdr:col>
          <xdr:colOff>0</xdr:colOff>
          <xdr:row>22</xdr:row>
          <xdr:rowOff>0</xdr:rowOff>
        </xdr:to>
        <xdr:sp macro="" textlink="">
          <xdr:nvSpPr>
            <xdr:cNvPr id="7556" name="Check Box 388" hidden="1">
              <a:extLst>
                <a:ext uri="{63B3BB69-23CF-44E3-9099-C40C66FF867C}">
                  <a14:compatExt spid="_x0000_s7556"/>
                </a:ext>
                <a:ext uri="{FF2B5EF4-FFF2-40B4-BE49-F238E27FC236}">
                  <a16:creationId xmlns:a16="http://schemas.microsoft.com/office/drawing/2014/main" id="{00000000-0008-0000-0400-0000841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21</xdr:row>
          <xdr:rowOff>0</xdr:rowOff>
        </xdr:from>
        <xdr:to>
          <xdr:col>6</xdr:col>
          <xdr:colOff>0</xdr:colOff>
          <xdr:row>22</xdr:row>
          <xdr:rowOff>0</xdr:rowOff>
        </xdr:to>
        <xdr:sp macro="" textlink="">
          <xdr:nvSpPr>
            <xdr:cNvPr id="7557" name="Check Box 389" hidden="1">
              <a:extLst>
                <a:ext uri="{63B3BB69-23CF-44E3-9099-C40C66FF867C}">
                  <a14:compatExt spid="_x0000_s7557"/>
                </a:ext>
                <a:ext uri="{FF2B5EF4-FFF2-40B4-BE49-F238E27FC236}">
                  <a16:creationId xmlns:a16="http://schemas.microsoft.com/office/drawing/2014/main" id="{00000000-0008-0000-0400-0000851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6</xdr:col>
          <xdr:colOff>685800</xdr:colOff>
          <xdr:row>22</xdr:row>
          <xdr:rowOff>0</xdr:rowOff>
        </xdr:to>
        <xdr:sp macro="" textlink="">
          <xdr:nvSpPr>
            <xdr:cNvPr id="7558" name="Check Box 390" hidden="1">
              <a:extLst>
                <a:ext uri="{63B3BB69-23CF-44E3-9099-C40C66FF867C}">
                  <a14:compatExt spid="_x0000_s7558"/>
                </a:ext>
                <a:ext uri="{FF2B5EF4-FFF2-40B4-BE49-F238E27FC236}">
                  <a16:creationId xmlns:a16="http://schemas.microsoft.com/office/drawing/2014/main" id="{00000000-0008-0000-0400-0000861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21</xdr:row>
          <xdr:rowOff>1828800</xdr:rowOff>
        </xdr:from>
        <xdr:to>
          <xdr:col>5</xdr:col>
          <xdr:colOff>0</xdr:colOff>
          <xdr:row>23</xdr:row>
          <xdr:rowOff>0</xdr:rowOff>
        </xdr:to>
        <xdr:sp macro="" textlink="">
          <xdr:nvSpPr>
            <xdr:cNvPr id="7559" name="Check Box 391" hidden="1">
              <a:extLst>
                <a:ext uri="{63B3BB69-23CF-44E3-9099-C40C66FF867C}">
                  <a14:compatExt spid="_x0000_s7559"/>
                </a:ext>
                <a:ext uri="{FF2B5EF4-FFF2-40B4-BE49-F238E27FC236}">
                  <a16:creationId xmlns:a16="http://schemas.microsoft.com/office/drawing/2014/main" id="{00000000-0008-0000-0400-0000871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21</xdr:row>
          <xdr:rowOff>1828800</xdr:rowOff>
        </xdr:from>
        <xdr:to>
          <xdr:col>6</xdr:col>
          <xdr:colOff>0</xdr:colOff>
          <xdr:row>23</xdr:row>
          <xdr:rowOff>0</xdr:rowOff>
        </xdr:to>
        <xdr:sp macro="" textlink="">
          <xdr:nvSpPr>
            <xdr:cNvPr id="7560" name="Check Box 392" hidden="1">
              <a:extLst>
                <a:ext uri="{63B3BB69-23CF-44E3-9099-C40C66FF867C}">
                  <a14:compatExt spid="_x0000_s7560"/>
                </a:ext>
                <a:ext uri="{FF2B5EF4-FFF2-40B4-BE49-F238E27FC236}">
                  <a16:creationId xmlns:a16="http://schemas.microsoft.com/office/drawing/2014/main" id="{00000000-0008-0000-0400-0000881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1828800</xdr:rowOff>
        </xdr:from>
        <xdr:to>
          <xdr:col>6</xdr:col>
          <xdr:colOff>685800</xdr:colOff>
          <xdr:row>23</xdr:row>
          <xdr:rowOff>0</xdr:rowOff>
        </xdr:to>
        <xdr:sp macro="" textlink="">
          <xdr:nvSpPr>
            <xdr:cNvPr id="7561" name="Check Box 393" hidden="1">
              <a:extLst>
                <a:ext uri="{63B3BB69-23CF-44E3-9099-C40C66FF867C}">
                  <a14:compatExt spid="_x0000_s7561"/>
                </a:ext>
                <a:ext uri="{FF2B5EF4-FFF2-40B4-BE49-F238E27FC236}">
                  <a16:creationId xmlns:a16="http://schemas.microsoft.com/office/drawing/2014/main" id="{00000000-0008-0000-0400-0000891D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nas.ntt-tx.co.jp/Org/Org01/&#32076;&#21942;&#20225;&#30011;&#37096;/&#30693;&#36001;&#36664;&#20986;/162&#22806;&#37096;&#30330;&#34920;&#12481;&#12455;&#12483;&#12463;&#12471;&#12540;&#12488;/&#25345;&#26666;&#24195;&#22577;&#12481;&#12455;&#12483;&#12463;&#12471;&#12540;&#12488;/gaibu_happyou_8_5_31_&#21152;&#24037;&#29992;.xlsx" TargetMode="External"/><Relationship Id="rId1" Type="http://schemas.openxmlformats.org/officeDocument/2006/relationships/externalLinkPath" Target="https://ntttx.sharepoint.com/Org01/&#32076;&#21942;&#20225;&#30011;&#37096;/&#30693;&#36001;&#36664;&#20986;/162&#22806;&#37096;&#30330;&#34920;&#12481;&#12455;&#12483;&#12463;&#12471;&#12540;&#12488;/&#25345;&#26666;&#24195;&#22577;&#12481;&#12455;&#12483;&#12463;&#12471;&#12540;&#12488;/gaibu_happyou_8_5_31_&#21152;&#24037;&#2999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はじめに"/>
      <sheetName val="統括表"/>
      <sheetName val="個別確認"/>
      <sheetName val="修正履歴"/>
    </sheetNames>
    <sheetDataSet>
      <sheetData sheetId="0">
        <row r="2">
          <cell r="G2" t="str">
            <v>2024.4.1</v>
          </cell>
        </row>
      </sheetData>
      <sheetData sheetId="1" refreshError="1"/>
      <sheetData sheetId="2">
        <row r="55">
          <cell r="D55" t="str">
            <v>　</v>
          </cell>
        </row>
      </sheetData>
      <sheetData sheetId="3"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forms.office.com/r/D5ewzSKvnd" TargetMode="External"/></Relationships>
</file>

<file path=xl/worksheets/_rels/sheet2.xml.rels><?xml version="1.0" encoding="UTF-8" standalone="yes"?>
<Relationships xmlns="http://schemas.openxmlformats.org/package/2006/relationships"><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63" Type="http://schemas.openxmlformats.org/officeDocument/2006/relationships/ctrlProp" Target="../ctrlProps/ctrlProp60.xml"/><Relationship Id="rId84" Type="http://schemas.openxmlformats.org/officeDocument/2006/relationships/ctrlProp" Target="../ctrlProps/ctrlProp81.xml"/><Relationship Id="rId138" Type="http://schemas.openxmlformats.org/officeDocument/2006/relationships/ctrlProp" Target="../ctrlProps/ctrlProp135.xml"/><Relationship Id="rId159" Type="http://schemas.openxmlformats.org/officeDocument/2006/relationships/ctrlProp" Target="../ctrlProps/ctrlProp156.xml"/><Relationship Id="rId170" Type="http://schemas.openxmlformats.org/officeDocument/2006/relationships/ctrlProp" Target="../ctrlProps/ctrlProp167.xml"/><Relationship Id="rId107" Type="http://schemas.openxmlformats.org/officeDocument/2006/relationships/ctrlProp" Target="../ctrlProps/ctrlProp104.xml"/><Relationship Id="rId11" Type="http://schemas.openxmlformats.org/officeDocument/2006/relationships/ctrlProp" Target="../ctrlProps/ctrlProp8.xml"/><Relationship Id="rId32" Type="http://schemas.openxmlformats.org/officeDocument/2006/relationships/ctrlProp" Target="../ctrlProps/ctrlProp29.xml"/><Relationship Id="rId53" Type="http://schemas.openxmlformats.org/officeDocument/2006/relationships/ctrlProp" Target="../ctrlProps/ctrlProp50.xml"/><Relationship Id="rId74" Type="http://schemas.openxmlformats.org/officeDocument/2006/relationships/ctrlProp" Target="../ctrlProps/ctrlProp71.xml"/><Relationship Id="rId128" Type="http://schemas.openxmlformats.org/officeDocument/2006/relationships/ctrlProp" Target="../ctrlProps/ctrlProp125.xml"/><Relationship Id="rId149" Type="http://schemas.openxmlformats.org/officeDocument/2006/relationships/ctrlProp" Target="../ctrlProps/ctrlProp146.xml"/><Relationship Id="rId5" Type="http://schemas.openxmlformats.org/officeDocument/2006/relationships/ctrlProp" Target="../ctrlProps/ctrlProp2.xml"/><Relationship Id="rId95" Type="http://schemas.openxmlformats.org/officeDocument/2006/relationships/ctrlProp" Target="../ctrlProps/ctrlProp92.xml"/><Relationship Id="rId160" Type="http://schemas.openxmlformats.org/officeDocument/2006/relationships/ctrlProp" Target="../ctrlProps/ctrlProp157.xml"/><Relationship Id="rId22" Type="http://schemas.openxmlformats.org/officeDocument/2006/relationships/ctrlProp" Target="../ctrlProps/ctrlProp19.xml"/><Relationship Id="rId43" Type="http://schemas.openxmlformats.org/officeDocument/2006/relationships/ctrlProp" Target="../ctrlProps/ctrlProp40.xml"/><Relationship Id="rId64" Type="http://schemas.openxmlformats.org/officeDocument/2006/relationships/ctrlProp" Target="../ctrlProps/ctrlProp61.xml"/><Relationship Id="rId118" Type="http://schemas.openxmlformats.org/officeDocument/2006/relationships/ctrlProp" Target="../ctrlProps/ctrlProp115.xml"/><Relationship Id="rId139" Type="http://schemas.openxmlformats.org/officeDocument/2006/relationships/ctrlProp" Target="../ctrlProps/ctrlProp136.xml"/><Relationship Id="rId85" Type="http://schemas.openxmlformats.org/officeDocument/2006/relationships/ctrlProp" Target="../ctrlProps/ctrlProp82.xml"/><Relationship Id="rId150" Type="http://schemas.openxmlformats.org/officeDocument/2006/relationships/ctrlProp" Target="../ctrlProps/ctrlProp147.xml"/><Relationship Id="rId171" Type="http://schemas.openxmlformats.org/officeDocument/2006/relationships/ctrlProp" Target="../ctrlProps/ctrlProp168.xml"/><Relationship Id="rId12" Type="http://schemas.openxmlformats.org/officeDocument/2006/relationships/ctrlProp" Target="../ctrlProps/ctrlProp9.xml"/><Relationship Id="rId33" Type="http://schemas.openxmlformats.org/officeDocument/2006/relationships/ctrlProp" Target="../ctrlProps/ctrlProp30.xml"/><Relationship Id="rId108" Type="http://schemas.openxmlformats.org/officeDocument/2006/relationships/ctrlProp" Target="../ctrlProps/ctrlProp105.xml"/><Relationship Id="rId129" Type="http://schemas.openxmlformats.org/officeDocument/2006/relationships/ctrlProp" Target="../ctrlProps/ctrlProp126.xml"/><Relationship Id="rId54" Type="http://schemas.openxmlformats.org/officeDocument/2006/relationships/ctrlProp" Target="../ctrlProps/ctrlProp51.xml"/><Relationship Id="rId75" Type="http://schemas.openxmlformats.org/officeDocument/2006/relationships/ctrlProp" Target="../ctrlProps/ctrlProp72.xml"/><Relationship Id="rId96" Type="http://schemas.openxmlformats.org/officeDocument/2006/relationships/ctrlProp" Target="../ctrlProps/ctrlProp93.xml"/><Relationship Id="rId140" Type="http://schemas.openxmlformats.org/officeDocument/2006/relationships/ctrlProp" Target="../ctrlProps/ctrlProp137.xml"/><Relationship Id="rId161" Type="http://schemas.openxmlformats.org/officeDocument/2006/relationships/ctrlProp" Target="../ctrlProps/ctrlProp158.xml"/><Relationship Id="rId1" Type="http://schemas.openxmlformats.org/officeDocument/2006/relationships/printerSettings" Target="../printerSettings/printerSettings1.bin"/><Relationship Id="rId6" Type="http://schemas.openxmlformats.org/officeDocument/2006/relationships/ctrlProp" Target="../ctrlProps/ctrlProp3.xml"/><Relationship Id="rId23" Type="http://schemas.openxmlformats.org/officeDocument/2006/relationships/ctrlProp" Target="../ctrlProps/ctrlProp20.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119" Type="http://schemas.openxmlformats.org/officeDocument/2006/relationships/ctrlProp" Target="../ctrlProps/ctrlProp116.xml"/><Relationship Id="rId44" Type="http://schemas.openxmlformats.org/officeDocument/2006/relationships/ctrlProp" Target="../ctrlProps/ctrlProp41.xml"/><Relationship Id="rId60" Type="http://schemas.openxmlformats.org/officeDocument/2006/relationships/ctrlProp" Target="../ctrlProps/ctrlProp57.xml"/><Relationship Id="rId65" Type="http://schemas.openxmlformats.org/officeDocument/2006/relationships/ctrlProp" Target="../ctrlProps/ctrlProp62.xml"/><Relationship Id="rId81" Type="http://schemas.openxmlformats.org/officeDocument/2006/relationships/ctrlProp" Target="../ctrlProps/ctrlProp78.xml"/><Relationship Id="rId86" Type="http://schemas.openxmlformats.org/officeDocument/2006/relationships/ctrlProp" Target="../ctrlProps/ctrlProp83.xml"/><Relationship Id="rId130" Type="http://schemas.openxmlformats.org/officeDocument/2006/relationships/ctrlProp" Target="../ctrlProps/ctrlProp127.xml"/><Relationship Id="rId135" Type="http://schemas.openxmlformats.org/officeDocument/2006/relationships/ctrlProp" Target="../ctrlProps/ctrlProp132.xml"/><Relationship Id="rId151" Type="http://schemas.openxmlformats.org/officeDocument/2006/relationships/ctrlProp" Target="../ctrlProps/ctrlProp148.xml"/><Relationship Id="rId156" Type="http://schemas.openxmlformats.org/officeDocument/2006/relationships/ctrlProp" Target="../ctrlProps/ctrlProp153.xml"/><Relationship Id="rId172" Type="http://schemas.openxmlformats.org/officeDocument/2006/relationships/ctrlProp" Target="../ctrlProps/ctrlProp169.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120" Type="http://schemas.openxmlformats.org/officeDocument/2006/relationships/ctrlProp" Target="../ctrlProps/ctrlProp117.xml"/><Relationship Id="rId125" Type="http://schemas.openxmlformats.org/officeDocument/2006/relationships/ctrlProp" Target="../ctrlProps/ctrlProp122.xml"/><Relationship Id="rId141" Type="http://schemas.openxmlformats.org/officeDocument/2006/relationships/ctrlProp" Target="../ctrlProps/ctrlProp138.xml"/><Relationship Id="rId146" Type="http://schemas.openxmlformats.org/officeDocument/2006/relationships/ctrlProp" Target="../ctrlProps/ctrlProp143.xml"/><Relationship Id="rId167" Type="http://schemas.openxmlformats.org/officeDocument/2006/relationships/ctrlProp" Target="../ctrlProps/ctrlProp164.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162" Type="http://schemas.openxmlformats.org/officeDocument/2006/relationships/ctrlProp" Target="../ctrlProps/ctrlProp159.xml"/><Relationship Id="rId2" Type="http://schemas.openxmlformats.org/officeDocument/2006/relationships/drawing" Target="../drawings/drawing2.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131" Type="http://schemas.openxmlformats.org/officeDocument/2006/relationships/ctrlProp" Target="../ctrlProps/ctrlProp128.xml"/><Relationship Id="rId136" Type="http://schemas.openxmlformats.org/officeDocument/2006/relationships/ctrlProp" Target="../ctrlProps/ctrlProp133.xml"/><Relationship Id="rId157" Type="http://schemas.openxmlformats.org/officeDocument/2006/relationships/ctrlProp" Target="../ctrlProps/ctrlProp154.xml"/><Relationship Id="rId61" Type="http://schemas.openxmlformats.org/officeDocument/2006/relationships/ctrlProp" Target="../ctrlProps/ctrlProp58.xml"/><Relationship Id="rId82" Type="http://schemas.openxmlformats.org/officeDocument/2006/relationships/ctrlProp" Target="../ctrlProps/ctrlProp79.xml"/><Relationship Id="rId152" Type="http://schemas.openxmlformats.org/officeDocument/2006/relationships/ctrlProp" Target="../ctrlProps/ctrlProp149.xml"/><Relationship Id="rId173" Type="http://schemas.openxmlformats.org/officeDocument/2006/relationships/ctrlProp" Target="../ctrlProps/ctrlProp170.xml"/><Relationship Id="rId19" Type="http://schemas.openxmlformats.org/officeDocument/2006/relationships/ctrlProp" Target="../ctrlProps/ctrlProp16.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163" Type="http://schemas.openxmlformats.org/officeDocument/2006/relationships/ctrlProp" Target="../ctrlProps/ctrlProp160.xml"/><Relationship Id="rId3" Type="http://schemas.openxmlformats.org/officeDocument/2006/relationships/vmlDrawing" Target="../drawings/vmlDrawing1.v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3" Type="http://schemas.openxmlformats.org/officeDocument/2006/relationships/ctrlProp" Target="../ctrlProps/ctrlProp150.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48" Type="http://schemas.openxmlformats.org/officeDocument/2006/relationships/ctrlProp" Target="../ctrlProps/ctrlProp145.xml"/><Relationship Id="rId164" Type="http://schemas.openxmlformats.org/officeDocument/2006/relationships/ctrlProp" Target="../ctrlProps/ctrlProp161.xml"/><Relationship Id="rId169" Type="http://schemas.openxmlformats.org/officeDocument/2006/relationships/ctrlProp" Target="../ctrlProps/ctrlProp166.xml"/><Relationship Id="rId4" Type="http://schemas.openxmlformats.org/officeDocument/2006/relationships/ctrlProp" Target="../ctrlProps/ctrlProp1.xml"/><Relationship Id="rId9" Type="http://schemas.openxmlformats.org/officeDocument/2006/relationships/ctrlProp" Target="../ctrlProps/ctrlProp6.xml"/><Relationship Id="rId26" Type="http://schemas.openxmlformats.org/officeDocument/2006/relationships/ctrlProp" Target="../ctrlProps/ctrlProp23.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54" Type="http://schemas.openxmlformats.org/officeDocument/2006/relationships/ctrlProp" Target="../ctrlProps/ctrlProp151.xml"/><Relationship Id="rId16" Type="http://schemas.openxmlformats.org/officeDocument/2006/relationships/ctrlProp" Target="../ctrlProps/ctrlProp13.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90" Type="http://schemas.openxmlformats.org/officeDocument/2006/relationships/ctrlProp" Target="../ctrlProps/ctrlProp87.xml"/><Relationship Id="rId165" Type="http://schemas.openxmlformats.org/officeDocument/2006/relationships/ctrlProp" Target="../ctrlProps/ctrlProp162.xml"/><Relationship Id="rId27" Type="http://schemas.openxmlformats.org/officeDocument/2006/relationships/ctrlProp" Target="../ctrlProps/ctrlProp24.xml"/><Relationship Id="rId48" Type="http://schemas.openxmlformats.org/officeDocument/2006/relationships/ctrlProp" Target="../ctrlProps/ctrlProp45.xml"/><Relationship Id="rId69" Type="http://schemas.openxmlformats.org/officeDocument/2006/relationships/ctrlProp" Target="../ctrlProps/ctrlProp66.xml"/><Relationship Id="rId113" Type="http://schemas.openxmlformats.org/officeDocument/2006/relationships/ctrlProp" Target="../ctrlProps/ctrlProp110.xml"/><Relationship Id="rId134" Type="http://schemas.openxmlformats.org/officeDocument/2006/relationships/ctrlProp" Target="../ctrlProps/ctrlProp131.xml"/><Relationship Id="rId80" Type="http://schemas.openxmlformats.org/officeDocument/2006/relationships/ctrlProp" Target="../ctrlProps/ctrlProp77.xml"/><Relationship Id="rId155" Type="http://schemas.openxmlformats.org/officeDocument/2006/relationships/ctrlProp" Target="../ctrlProps/ctrlProp152.xml"/><Relationship Id="rId17" Type="http://schemas.openxmlformats.org/officeDocument/2006/relationships/ctrlProp" Target="../ctrlProps/ctrlProp14.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24" Type="http://schemas.openxmlformats.org/officeDocument/2006/relationships/ctrlProp" Target="../ctrlProps/ctrlProp121.xml"/><Relationship Id="rId70" Type="http://schemas.openxmlformats.org/officeDocument/2006/relationships/ctrlProp" Target="../ctrlProps/ctrlProp67.xml"/><Relationship Id="rId91" Type="http://schemas.openxmlformats.org/officeDocument/2006/relationships/ctrlProp" Target="../ctrlProps/ctrlProp88.xml"/><Relationship Id="rId145" Type="http://schemas.openxmlformats.org/officeDocument/2006/relationships/ctrlProp" Target="../ctrlProps/ctrlProp142.xml"/><Relationship Id="rId166" Type="http://schemas.openxmlformats.org/officeDocument/2006/relationships/ctrlProp" Target="../ctrlProps/ctrlProp163.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https://ntttx.sharepoint.com/:b:/r/sites/corporatecommunication/SiteAssets/SitePages/03_%E5%90%84%E7%A8%AE%E8%B3%87%E6%96%99%EF%BC%88CIGI%E3%80%81%E4%BC%9A%E7%A4%BE%E6%A1%88%E5%86%85%E3%80%81%E7%B5%84%E7%B9%94%E5%9B%B3%E3%80%81%E3%82%B3%E3%83%BC%E3%83%9D%E3%83%AC%E3%83%BC%E3%83%88%E3%83%A1%E3%83%83%E3%82%BB%E3%83%BC%E3%82%B8%E3%80%81%E8%A1%8C%E5%8B%95%E6%8C%87%E9%87%9D%E3%81%AA%E3%81%A9%EF%BC%89/01_CIGI/CIGI%E3%82%AC%E3%82%A4%E3%83%89%E3%83%A9%E3%82%A4%E3%83%B3%E6%94%B9%E7%B7%A8_2023%E5%B9%B43%E6%9C%88.pdf?csf=1&amp;web=1&amp;e=RBsCFM" TargetMode="External"/><Relationship Id="rId2" Type="http://schemas.openxmlformats.org/officeDocument/2006/relationships/hyperlink" Target="https://ntttx.sharepoint.com/sites/tmsguide/SitePages/%E5%80%8B%E4%BA%BA%E6%83%85%E5%A0%B1%E3%82%92%E7%AC%AC%E4%B8%89%E8%80%85%E3%81%AB%E6%8F%90%E4%BE%9B%E3%81%99%E3%82%8B%E6%99%82%E3%81%AE%E6%89%8B%E7%B6%9A%E3%81%8D.aspx?xsdata=MDV8MDF8fGRjMGE4NjJjODViNzQ1OTJjMTkyMDhkYmJkOGQ4M2Q3fDM0M2ZkZDg1OGI1ZjQ4MjhiYWRiMmI5NGNkMjU0NWZifDB8MHw2MzgzMTIxODc3MDMwNTA2NDJ8VW5rbm93bnxWR1ZoYlhOVFpXTjFjbWwwZVZObGNuWnBZMlY4ZXlKV0lqb2lNQzR3TGpBd01EQWlMQ0pRSWpvaVYybHVNeklpTENKQlRpSTZJazkwYUdWeUlpd2lWMVFpT2pFeGZRPT18MXx" TargetMode="External"/><Relationship Id="rId1" Type="http://schemas.openxmlformats.org/officeDocument/2006/relationships/hyperlink" Target="https://www.oa.ntt-tx.co.jp/chizai/file/chouhyou/Check_inyou.xlsx" TargetMode="External"/><Relationship Id="rId5" Type="http://schemas.openxmlformats.org/officeDocument/2006/relationships/printerSettings" Target="../printerSettings/printerSettings3.bin"/><Relationship Id="rId4" Type="http://schemas.openxmlformats.org/officeDocument/2006/relationships/hyperlink" Target="https://www.oa.ntt-tx.co.jp/chizai/index.php?%E5%95%86%E6%A8%99%E4%B8%80%E8%A6%A7" TargetMode="External"/></Relationships>
</file>

<file path=xl/worksheets/_rels/sheet5.xml.rels><?xml version="1.0" encoding="UTF-8" standalone="yes"?>
<Relationships xmlns="http://schemas.openxmlformats.org/package/2006/relationships"><Relationship Id="rId13" Type="http://schemas.openxmlformats.org/officeDocument/2006/relationships/ctrlProp" Target="../ctrlProps/ctrlProp180.xml"/><Relationship Id="rId18" Type="http://schemas.openxmlformats.org/officeDocument/2006/relationships/ctrlProp" Target="../ctrlProps/ctrlProp185.xml"/><Relationship Id="rId26" Type="http://schemas.openxmlformats.org/officeDocument/2006/relationships/ctrlProp" Target="../ctrlProps/ctrlProp193.xml"/><Relationship Id="rId39" Type="http://schemas.openxmlformats.org/officeDocument/2006/relationships/ctrlProp" Target="../ctrlProps/ctrlProp206.xml"/><Relationship Id="rId21" Type="http://schemas.openxmlformats.org/officeDocument/2006/relationships/ctrlProp" Target="../ctrlProps/ctrlProp188.xml"/><Relationship Id="rId34" Type="http://schemas.openxmlformats.org/officeDocument/2006/relationships/ctrlProp" Target="../ctrlProps/ctrlProp201.xml"/><Relationship Id="rId42" Type="http://schemas.openxmlformats.org/officeDocument/2006/relationships/ctrlProp" Target="../ctrlProps/ctrlProp209.xml"/><Relationship Id="rId7" Type="http://schemas.openxmlformats.org/officeDocument/2006/relationships/ctrlProp" Target="../ctrlProps/ctrlProp174.xml"/><Relationship Id="rId2" Type="http://schemas.openxmlformats.org/officeDocument/2006/relationships/drawing" Target="../drawings/drawing3.xml"/><Relationship Id="rId16" Type="http://schemas.openxmlformats.org/officeDocument/2006/relationships/ctrlProp" Target="../ctrlProps/ctrlProp183.xml"/><Relationship Id="rId20" Type="http://schemas.openxmlformats.org/officeDocument/2006/relationships/ctrlProp" Target="../ctrlProps/ctrlProp187.xml"/><Relationship Id="rId29" Type="http://schemas.openxmlformats.org/officeDocument/2006/relationships/ctrlProp" Target="../ctrlProps/ctrlProp196.xml"/><Relationship Id="rId41" Type="http://schemas.openxmlformats.org/officeDocument/2006/relationships/ctrlProp" Target="../ctrlProps/ctrlProp208.xml"/><Relationship Id="rId1" Type="http://schemas.openxmlformats.org/officeDocument/2006/relationships/printerSettings" Target="../printerSettings/printerSettings4.bin"/><Relationship Id="rId6" Type="http://schemas.openxmlformats.org/officeDocument/2006/relationships/ctrlProp" Target="../ctrlProps/ctrlProp173.xml"/><Relationship Id="rId11" Type="http://schemas.openxmlformats.org/officeDocument/2006/relationships/ctrlProp" Target="../ctrlProps/ctrlProp178.xml"/><Relationship Id="rId24" Type="http://schemas.openxmlformats.org/officeDocument/2006/relationships/ctrlProp" Target="../ctrlProps/ctrlProp191.xml"/><Relationship Id="rId32" Type="http://schemas.openxmlformats.org/officeDocument/2006/relationships/ctrlProp" Target="../ctrlProps/ctrlProp199.xml"/><Relationship Id="rId37" Type="http://schemas.openxmlformats.org/officeDocument/2006/relationships/ctrlProp" Target="../ctrlProps/ctrlProp204.xml"/><Relationship Id="rId40" Type="http://schemas.openxmlformats.org/officeDocument/2006/relationships/ctrlProp" Target="../ctrlProps/ctrlProp207.xml"/><Relationship Id="rId5" Type="http://schemas.openxmlformats.org/officeDocument/2006/relationships/ctrlProp" Target="../ctrlProps/ctrlProp172.xml"/><Relationship Id="rId15" Type="http://schemas.openxmlformats.org/officeDocument/2006/relationships/ctrlProp" Target="../ctrlProps/ctrlProp182.xml"/><Relationship Id="rId23" Type="http://schemas.openxmlformats.org/officeDocument/2006/relationships/ctrlProp" Target="../ctrlProps/ctrlProp190.xml"/><Relationship Id="rId28" Type="http://schemas.openxmlformats.org/officeDocument/2006/relationships/ctrlProp" Target="../ctrlProps/ctrlProp195.xml"/><Relationship Id="rId36" Type="http://schemas.openxmlformats.org/officeDocument/2006/relationships/ctrlProp" Target="../ctrlProps/ctrlProp203.xml"/><Relationship Id="rId10" Type="http://schemas.openxmlformats.org/officeDocument/2006/relationships/ctrlProp" Target="../ctrlProps/ctrlProp177.xml"/><Relationship Id="rId19" Type="http://schemas.openxmlformats.org/officeDocument/2006/relationships/ctrlProp" Target="../ctrlProps/ctrlProp186.xml"/><Relationship Id="rId31" Type="http://schemas.openxmlformats.org/officeDocument/2006/relationships/ctrlProp" Target="../ctrlProps/ctrlProp198.xml"/><Relationship Id="rId4" Type="http://schemas.openxmlformats.org/officeDocument/2006/relationships/ctrlProp" Target="../ctrlProps/ctrlProp171.xml"/><Relationship Id="rId9" Type="http://schemas.openxmlformats.org/officeDocument/2006/relationships/ctrlProp" Target="../ctrlProps/ctrlProp176.xml"/><Relationship Id="rId14" Type="http://schemas.openxmlformats.org/officeDocument/2006/relationships/ctrlProp" Target="../ctrlProps/ctrlProp181.xml"/><Relationship Id="rId22" Type="http://schemas.openxmlformats.org/officeDocument/2006/relationships/ctrlProp" Target="../ctrlProps/ctrlProp189.xml"/><Relationship Id="rId27" Type="http://schemas.openxmlformats.org/officeDocument/2006/relationships/ctrlProp" Target="../ctrlProps/ctrlProp194.xml"/><Relationship Id="rId30" Type="http://schemas.openxmlformats.org/officeDocument/2006/relationships/ctrlProp" Target="../ctrlProps/ctrlProp197.xml"/><Relationship Id="rId35" Type="http://schemas.openxmlformats.org/officeDocument/2006/relationships/ctrlProp" Target="../ctrlProps/ctrlProp202.xml"/><Relationship Id="rId8" Type="http://schemas.openxmlformats.org/officeDocument/2006/relationships/ctrlProp" Target="../ctrlProps/ctrlProp175.xml"/><Relationship Id="rId3" Type="http://schemas.openxmlformats.org/officeDocument/2006/relationships/vmlDrawing" Target="../drawings/vmlDrawing2.vml"/><Relationship Id="rId12" Type="http://schemas.openxmlformats.org/officeDocument/2006/relationships/ctrlProp" Target="../ctrlProps/ctrlProp179.xml"/><Relationship Id="rId17" Type="http://schemas.openxmlformats.org/officeDocument/2006/relationships/ctrlProp" Target="../ctrlProps/ctrlProp184.xml"/><Relationship Id="rId25" Type="http://schemas.openxmlformats.org/officeDocument/2006/relationships/ctrlProp" Target="../ctrlProps/ctrlProp192.xml"/><Relationship Id="rId33" Type="http://schemas.openxmlformats.org/officeDocument/2006/relationships/ctrlProp" Target="../ctrlProps/ctrlProp200.xml"/><Relationship Id="rId38" Type="http://schemas.openxmlformats.org/officeDocument/2006/relationships/ctrlProp" Target="../ctrlProps/ctrlProp20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EC021-EBDC-4DD6-AEFA-DC4EC70C25FC}">
  <sheetPr>
    <tabColor rgb="FFFF0000"/>
  </sheetPr>
  <dimension ref="B1:E24"/>
  <sheetViews>
    <sheetView workbookViewId="0">
      <selection activeCell="E20" sqref="E20"/>
    </sheetView>
  </sheetViews>
  <sheetFormatPr baseColWidth="10" defaultColWidth="8.83203125" defaultRowHeight="18"/>
  <cols>
    <col min="2" max="2" width="3.83203125" customWidth="1"/>
    <col min="3" max="3" width="47.6640625" customWidth="1"/>
    <col min="4" max="4" width="49.1640625" customWidth="1"/>
    <col min="5" max="5" width="26.1640625" customWidth="1"/>
  </cols>
  <sheetData>
    <row r="1" spans="2:5" ht="48" customHeight="1">
      <c r="B1" s="250" t="s">
        <v>0</v>
      </c>
      <c r="C1" s="250"/>
      <c r="E1" s="2" t="s">
        <v>1</v>
      </c>
    </row>
    <row r="17" spans="2:5" ht="154.5" customHeight="1"/>
    <row r="18" spans="2:5" ht="38">
      <c r="B18" s="248" t="s">
        <v>2</v>
      </c>
      <c r="C18" s="249"/>
      <c r="D18" s="189" t="s">
        <v>3</v>
      </c>
      <c r="E18" s="191" t="s">
        <v>4</v>
      </c>
    </row>
    <row r="19" spans="2:5" ht="81.75" customHeight="1">
      <c r="B19" s="4" t="s">
        <v>5</v>
      </c>
      <c r="C19" s="187" t="s">
        <v>6</v>
      </c>
      <c r="D19" s="190" t="s">
        <v>7</v>
      </c>
      <c r="E19" s="194" t="s">
        <v>8</v>
      </c>
    </row>
    <row r="20" spans="2:5" ht="87" customHeight="1">
      <c r="B20" s="4" t="s">
        <v>9</v>
      </c>
      <c r="C20" s="187" t="s">
        <v>10</v>
      </c>
      <c r="D20" s="190" t="s">
        <v>11</v>
      </c>
      <c r="E20" s="194" t="s">
        <v>387</v>
      </c>
    </row>
    <row r="22" spans="2:5">
      <c r="C22" t="s">
        <v>12</v>
      </c>
    </row>
    <row r="24" spans="2:5">
      <c r="C24" s="195" t="s">
        <v>13</v>
      </c>
      <c r="D24" t="s">
        <v>14</v>
      </c>
    </row>
  </sheetData>
  <sheetProtection algorithmName="SHA-512" hashValue="68xk/Wz26Yaz89hvlCD3AKcrOXgGrhR2LuUHd13z9FNNUp7uhElGSE9WSdvUQUEJ9xE7jnIB7UgqQsHbn04E9w==" saltValue="mA8/PuCnSH/d95o9b6xKhA==" spinCount="100000" sheet="1" objects="1" scenarios="1"/>
  <mergeCells count="2">
    <mergeCell ref="B18:C18"/>
    <mergeCell ref="B1:C1"/>
  </mergeCells>
  <phoneticPr fontId="2"/>
  <dataValidations count="1">
    <dataValidation type="list" allowBlank="1" showInputMessage="1" showErrorMessage="1" sqref="E19:E20" xr:uid="{045DA7E7-7594-4794-87FF-109A521076CE}">
      <formula1>"〇,　"</formula1>
    </dataValidation>
  </dataValidations>
  <hyperlinks>
    <hyperlink ref="C24" r:id="rId1" xr:uid="{0A2FB49A-C548-4E13-B243-54656EE03E4D}"/>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3445F-9506-4153-9F13-05E861F627D1}">
  <sheetPr>
    <tabColor rgb="FFFFFF00"/>
  </sheetPr>
  <dimension ref="A1:Q91"/>
  <sheetViews>
    <sheetView topLeftCell="A55" zoomScale="115" zoomScaleNormal="115" workbookViewId="0">
      <selection activeCell="H33" sqref="H33"/>
    </sheetView>
  </sheetViews>
  <sheetFormatPr baseColWidth="10" defaultColWidth="8.83203125" defaultRowHeight="18"/>
  <cols>
    <col min="1" max="2" width="3.1640625" customWidth="1"/>
    <col min="3" max="3" width="12.6640625" bestFit="1" customWidth="1"/>
    <col min="4" max="4" width="97.83203125" customWidth="1"/>
    <col min="5" max="5" width="8.83203125" customWidth="1"/>
    <col min="8" max="8" width="55" customWidth="1"/>
    <col min="10" max="17" width="8.6640625" hidden="1" customWidth="1"/>
  </cols>
  <sheetData>
    <row r="1" spans="1:17" ht="24">
      <c r="A1" s="265" t="s">
        <v>15</v>
      </c>
      <c r="B1" s="265"/>
      <c r="C1" s="265"/>
      <c r="D1" s="265"/>
      <c r="E1" s="265"/>
      <c r="F1" s="265"/>
      <c r="G1" s="265"/>
    </row>
    <row r="2" spans="1:17">
      <c r="E2" s="1"/>
      <c r="F2" s="1"/>
      <c r="G2" s="2"/>
      <c r="H2" s="211">
        <v>45962</v>
      </c>
    </row>
    <row r="3" spans="1:17">
      <c r="E3" s="1"/>
      <c r="F3" s="1"/>
      <c r="G3" s="2"/>
      <c r="H3" s="2" t="s">
        <v>16</v>
      </c>
    </row>
    <row r="4" spans="1:17">
      <c r="E4" s="1"/>
      <c r="F4" s="1"/>
      <c r="G4" s="2"/>
    </row>
    <row r="6" spans="1:17">
      <c r="B6" s="3" t="s">
        <v>17</v>
      </c>
      <c r="C6" s="3"/>
    </row>
    <row r="7" spans="1:17">
      <c r="C7" s="35" t="s">
        <v>18</v>
      </c>
      <c r="D7" s="4"/>
      <c r="N7" t="s">
        <v>19</v>
      </c>
    </row>
    <row r="8" spans="1:17">
      <c r="C8" s="35" t="s">
        <v>20</v>
      </c>
      <c r="D8" s="4"/>
      <c r="N8" t="s">
        <v>21</v>
      </c>
    </row>
    <row r="9" spans="1:17">
      <c r="C9" s="35" t="s">
        <v>22</v>
      </c>
      <c r="D9" s="4"/>
      <c r="N9" t="s">
        <v>23</v>
      </c>
    </row>
    <row r="10" spans="1:17" ht="38">
      <c r="C10" s="198" t="s">
        <v>24</v>
      </c>
      <c r="D10" s="4"/>
    </row>
    <row r="11" spans="1:17">
      <c r="C11" s="35" t="s">
        <v>25</v>
      </c>
      <c r="D11" s="4"/>
      <c r="E11" s="199" t="s">
        <v>26</v>
      </c>
      <c r="N11" t="s">
        <v>27</v>
      </c>
    </row>
    <row r="12" spans="1:17" ht="36" customHeight="1">
      <c r="C12" s="266" t="s">
        <v>28</v>
      </c>
      <c r="D12" s="24"/>
      <c r="J12" t="b">
        <v>0</v>
      </c>
      <c r="K12" t="b">
        <v>0</v>
      </c>
      <c r="N12" t="s">
        <v>29</v>
      </c>
      <c r="Q12" t="s">
        <v>30</v>
      </c>
    </row>
    <row r="13" spans="1:17">
      <c r="C13" s="267"/>
      <c r="D13" s="7" t="s">
        <v>31</v>
      </c>
      <c r="N13" t="s">
        <v>32</v>
      </c>
    </row>
    <row r="14" spans="1:17">
      <c r="C14" s="268" t="s">
        <v>33</v>
      </c>
      <c r="D14" s="4"/>
      <c r="J14" t="b">
        <v>0</v>
      </c>
      <c r="N14" t="s">
        <v>34</v>
      </c>
    </row>
    <row r="15" spans="1:17">
      <c r="C15" s="268"/>
      <c r="D15" s="4"/>
      <c r="J15" t="b">
        <v>0</v>
      </c>
    </row>
    <row r="16" spans="1:17">
      <c r="C16" s="268"/>
      <c r="D16" s="4"/>
      <c r="J16" t="b">
        <v>0</v>
      </c>
    </row>
    <row r="19" spans="1:12">
      <c r="B19" s="3" t="s">
        <v>35</v>
      </c>
      <c r="C19" s="3"/>
    </row>
    <row r="20" spans="1:12">
      <c r="A20" s="3"/>
      <c r="B20" s="3"/>
      <c r="C20" s="5" t="s">
        <v>36</v>
      </c>
      <c r="D20" s="27"/>
      <c r="E20" s="6" t="s">
        <v>37</v>
      </c>
      <c r="F20" s="6" t="s">
        <v>38</v>
      </c>
      <c r="G20" s="6" t="s">
        <v>39</v>
      </c>
      <c r="H20" s="5" t="s">
        <v>40</v>
      </c>
    </row>
    <row r="21" spans="1:12" ht="76">
      <c r="C21" s="32" t="s">
        <v>41</v>
      </c>
      <c r="D21" s="26" t="s">
        <v>42</v>
      </c>
      <c r="E21" s="13"/>
      <c r="F21" s="13"/>
      <c r="G21" s="13"/>
      <c r="H21" s="4"/>
      <c r="J21" t="b">
        <v>0</v>
      </c>
      <c r="K21" t="b">
        <v>0</v>
      </c>
      <c r="L21" t="b">
        <v>0</v>
      </c>
    </row>
    <row r="22" spans="1:12" ht="19">
      <c r="C22" s="33" t="s">
        <v>43</v>
      </c>
      <c r="D22" s="25" t="s">
        <v>44</v>
      </c>
      <c r="E22" s="11"/>
      <c r="F22" s="11"/>
      <c r="G22" s="11"/>
      <c r="H22" s="4"/>
      <c r="J22" t="b">
        <v>0</v>
      </c>
      <c r="K22" t="b">
        <v>0</v>
      </c>
      <c r="L22" t="b">
        <v>0</v>
      </c>
    </row>
    <row r="23" spans="1:12" ht="38">
      <c r="C23" s="269" t="s">
        <v>45</v>
      </c>
      <c r="D23" s="23" t="s">
        <v>46</v>
      </c>
      <c r="E23" s="11"/>
      <c r="F23" s="11"/>
      <c r="G23" s="11"/>
      <c r="H23" s="4"/>
      <c r="J23" t="b">
        <v>0</v>
      </c>
      <c r="K23" t="b">
        <v>0</v>
      </c>
      <c r="L23" t="b">
        <v>0</v>
      </c>
    </row>
    <row r="24" spans="1:12" ht="19">
      <c r="C24" s="270"/>
      <c r="D24" s="29" t="s">
        <v>47</v>
      </c>
      <c r="E24" s="202" t="b">
        <v>0</v>
      </c>
      <c r="F24" s="203" t="b">
        <v>0</v>
      </c>
      <c r="G24" s="203" t="b">
        <v>0</v>
      </c>
      <c r="H24" s="4"/>
    </row>
    <row r="25" spans="1:12" ht="21" customHeight="1">
      <c r="C25" s="269" t="s">
        <v>48</v>
      </c>
      <c r="D25" s="29" t="s">
        <v>49</v>
      </c>
      <c r="E25" s="271"/>
      <c r="F25" s="273"/>
      <c r="G25" s="273"/>
      <c r="H25" s="192" t="s">
        <v>50</v>
      </c>
      <c r="J25" t="b">
        <v>0</v>
      </c>
      <c r="K25" t="b">
        <v>0</v>
      </c>
      <c r="L25" t="b">
        <v>0</v>
      </c>
    </row>
    <row r="26" spans="1:12" ht="38">
      <c r="C26" s="270"/>
      <c r="D26" s="30" t="s">
        <v>51</v>
      </c>
      <c r="E26" s="272"/>
      <c r="F26" s="274"/>
      <c r="G26" s="274"/>
      <c r="H26" s="193" t="s">
        <v>52</v>
      </c>
    </row>
    <row r="27" spans="1:12" ht="38">
      <c r="C27" s="33" t="s">
        <v>53</v>
      </c>
      <c r="D27" s="25" t="s">
        <v>54</v>
      </c>
      <c r="E27" s="11"/>
      <c r="F27" s="11"/>
      <c r="G27" s="11"/>
      <c r="H27" s="4"/>
      <c r="J27" t="b">
        <v>0</v>
      </c>
      <c r="K27" t="b">
        <v>0</v>
      </c>
      <c r="L27" t="b">
        <v>0</v>
      </c>
    </row>
    <row r="28" spans="1:12" ht="36" customHeight="1">
      <c r="C28" s="33" t="s">
        <v>55</v>
      </c>
      <c r="D28" s="25" t="s">
        <v>56</v>
      </c>
      <c r="E28" s="11"/>
      <c r="F28" s="11"/>
      <c r="G28" s="11"/>
      <c r="H28" s="4"/>
      <c r="J28" t="b">
        <v>0</v>
      </c>
    </row>
    <row r="29" spans="1:12" ht="19">
      <c r="C29" s="33" t="s">
        <v>57</v>
      </c>
      <c r="D29" s="25" t="s">
        <v>58</v>
      </c>
      <c r="E29" s="11"/>
      <c r="F29" s="11"/>
      <c r="G29" s="11"/>
      <c r="H29" s="4"/>
    </row>
    <row r="30" spans="1:12" ht="19">
      <c r="C30" s="33" t="s">
        <v>59</v>
      </c>
      <c r="D30" s="25" t="s">
        <v>60</v>
      </c>
      <c r="E30" s="11"/>
      <c r="F30" s="11"/>
      <c r="G30" s="11"/>
      <c r="H30" s="4"/>
    </row>
    <row r="31" spans="1:12" ht="19">
      <c r="C31" s="33" t="s">
        <v>61</v>
      </c>
      <c r="D31" s="25" t="s">
        <v>62</v>
      </c>
      <c r="E31" s="11"/>
      <c r="F31" s="11"/>
      <c r="G31" s="11"/>
      <c r="H31" s="4"/>
    </row>
    <row r="32" spans="1:12" ht="19">
      <c r="C32" s="33" t="s">
        <v>63</v>
      </c>
      <c r="D32" s="25" t="s">
        <v>64</v>
      </c>
      <c r="E32" s="11"/>
      <c r="F32" s="11"/>
      <c r="G32" s="11"/>
      <c r="H32" s="4"/>
      <c r="J32" t="b">
        <v>0</v>
      </c>
    </row>
    <row r="33" spans="3:12" ht="95">
      <c r="C33" s="33" t="s">
        <v>65</v>
      </c>
      <c r="D33" s="25" t="s">
        <v>66</v>
      </c>
      <c r="E33" s="11"/>
      <c r="F33" s="11"/>
      <c r="G33" s="11"/>
      <c r="H33" s="4"/>
      <c r="J33" t="b">
        <v>0</v>
      </c>
      <c r="K33" t="b">
        <v>0</v>
      </c>
    </row>
    <row r="34" spans="3:12" ht="19">
      <c r="C34" s="33" t="s">
        <v>67</v>
      </c>
      <c r="D34" s="25" t="s">
        <v>68</v>
      </c>
      <c r="E34" s="11"/>
      <c r="F34" s="11"/>
      <c r="G34" s="11"/>
      <c r="H34" s="4"/>
    </row>
    <row r="35" spans="3:12" ht="19">
      <c r="C35" s="33" t="s">
        <v>69</v>
      </c>
      <c r="D35" s="25" t="s">
        <v>70</v>
      </c>
      <c r="E35" s="11"/>
      <c r="F35" s="11"/>
      <c r="G35" s="11"/>
      <c r="H35" s="4"/>
      <c r="J35" t="b">
        <v>0</v>
      </c>
    </row>
    <row r="36" spans="3:12" ht="19">
      <c r="C36" s="33" t="s">
        <v>71</v>
      </c>
      <c r="D36" s="23" t="s">
        <v>72</v>
      </c>
      <c r="E36" s="11"/>
      <c r="F36" s="11"/>
      <c r="G36" s="11"/>
      <c r="H36" s="4"/>
    </row>
    <row r="37" spans="3:12" ht="38">
      <c r="C37" s="33" t="s">
        <v>73</v>
      </c>
      <c r="D37" s="23" t="s">
        <v>74</v>
      </c>
      <c r="E37" s="11"/>
      <c r="F37" s="11"/>
      <c r="G37" s="11"/>
      <c r="H37" s="192" t="s">
        <v>75</v>
      </c>
    </row>
    <row r="38" spans="3:12" ht="19">
      <c r="C38" s="33" t="s">
        <v>76</v>
      </c>
      <c r="D38" s="23" t="s">
        <v>77</v>
      </c>
      <c r="E38" s="11"/>
      <c r="F38" s="11"/>
      <c r="G38" s="11"/>
      <c r="H38" s="4"/>
    </row>
    <row r="39" spans="3:12">
      <c r="C39" s="33" t="s">
        <v>78</v>
      </c>
      <c r="D39" s="31" t="s">
        <v>79</v>
      </c>
      <c r="E39" s="11"/>
      <c r="F39" s="11"/>
      <c r="G39" s="11"/>
      <c r="H39" s="4"/>
    </row>
    <row r="40" spans="3:12">
      <c r="C40" s="257" t="s">
        <v>80</v>
      </c>
      <c r="D40" s="258"/>
      <c r="E40" s="22"/>
      <c r="F40" s="22"/>
      <c r="G40" s="22"/>
      <c r="H40" s="251"/>
    </row>
    <row r="41" spans="3:12">
      <c r="C41" s="259" t="s">
        <v>81</v>
      </c>
      <c r="D41" s="260"/>
      <c r="E41" s="13"/>
      <c r="F41" s="13"/>
      <c r="G41" s="13"/>
      <c r="H41" s="252"/>
    </row>
    <row r="42" spans="3:12" ht="19">
      <c r="C42" s="33" t="s">
        <v>82</v>
      </c>
      <c r="D42" s="23" t="s">
        <v>83</v>
      </c>
      <c r="E42" s="11"/>
      <c r="F42" s="11"/>
      <c r="G42" s="11"/>
      <c r="H42" s="4"/>
      <c r="L42" t="b">
        <v>0</v>
      </c>
    </row>
    <row r="43" spans="3:12" ht="38">
      <c r="C43" s="33" t="s">
        <v>84</v>
      </c>
      <c r="D43" s="23" t="s">
        <v>85</v>
      </c>
      <c r="E43" s="11"/>
      <c r="F43" s="11"/>
      <c r="G43" s="11"/>
      <c r="H43" s="4"/>
    </row>
    <row r="44" spans="3:12" ht="38">
      <c r="C44" s="33" t="s">
        <v>86</v>
      </c>
      <c r="D44" s="23" t="s">
        <v>87</v>
      </c>
      <c r="E44" s="11"/>
      <c r="F44" s="11"/>
      <c r="G44" s="11"/>
      <c r="H44" s="253"/>
    </row>
    <row r="45" spans="3:12">
      <c r="C45" s="261" t="s">
        <v>88</v>
      </c>
      <c r="D45" s="262"/>
      <c r="E45" s="22"/>
      <c r="F45" s="22"/>
      <c r="G45" s="22"/>
      <c r="H45" s="223"/>
    </row>
    <row r="46" spans="3:12">
      <c r="C46" s="263" t="s">
        <v>89</v>
      </c>
      <c r="D46" s="264"/>
      <c r="E46" s="13"/>
      <c r="F46" s="13"/>
      <c r="G46" s="13"/>
      <c r="H46" s="224"/>
    </row>
    <row r="47" spans="3:12" ht="19">
      <c r="C47" s="33" t="s">
        <v>90</v>
      </c>
      <c r="D47" s="23" t="s">
        <v>91</v>
      </c>
      <c r="E47" s="11"/>
      <c r="F47" s="11"/>
      <c r="G47" s="11"/>
      <c r="H47" s="4"/>
    </row>
    <row r="48" spans="3:12" ht="19">
      <c r="C48" s="33" t="s">
        <v>92</v>
      </c>
      <c r="D48" s="23" t="s">
        <v>93</v>
      </c>
      <c r="E48" s="11"/>
      <c r="F48" s="11"/>
      <c r="G48" s="11"/>
      <c r="H48" s="4"/>
    </row>
    <row r="49" spans="1:12">
      <c r="C49" s="261" t="s">
        <v>94</v>
      </c>
      <c r="D49" s="262"/>
      <c r="E49" s="22"/>
      <c r="F49" s="22"/>
      <c r="G49" s="22"/>
      <c r="H49" s="253"/>
    </row>
    <row r="50" spans="1:12">
      <c r="C50" s="263" t="s">
        <v>89</v>
      </c>
      <c r="D50" s="264"/>
      <c r="E50" s="13"/>
      <c r="F50" s="13"/>
      <c r="G50" s="13"/>
      <c r="H50" s="224"/>
    </row>
    <row r="51" spans="1:12" ht="38">
      <c r="C51" s="33" t="s">
        <v>95</v>
      </c>
      <c r="D51" s="23" t="s">
        <v>96</v>
      </c>
      <c r="E51" s="11"/>
      <c r="F51" s="11"/>
      <c r="G51" s="11"/>
      <c r="H51" s="4"/>
      <c r="L51" t="b">
        <v>0</v>
      </c>
    </row>
    <row r="52" spans="1:12" ht="38">
      <c r="C52" s="33" t="s">
        <v>97</v>
      </c>
      <c r="D52" s="23" t="s">
        <v>98</v>
      </c>
      <c r="E52" s="11"/>
      <c r="F52" s="11"/>
      <c r="G52" s="11"/>
      <c r="H52" s="4"/>
    </row>
    <row r="53" spans="1:12" ht="76">
      <c r="C53" s="33" t="s">
        <v>99</v>
      </c>
      <c r="D53" s="23" t="s">
        <v>100</v>
      </c>
      <c r="E53" s="11"/>
      <c r="F53" s="11"/>
      <c r="G53" s="11"/>
      <c r="H53" s="4"/>
    </row>
    <row r="54" spans="1:12" ht="57">
      <c r="C54" s="33" t="s">
        <v>101</v>
      </c>
      <c r="D54" s="23" t="s">
        <v>102</v>
      </c>
      <c r="E54" s="11"/>
      <c r="F54" s="11"/>
      <c r="G54" s="11"/>
      <c r="H54" s="4"/>
    </row>
    <row r="55" spans="1:12" ht="57">
      <c r="C55" s="33" t="s">
        <v>103</v>
      </c>
      <c r="D55" s="23" t="s">
        <v>104</v>
      </c>
      <c r="E55" s="11"/>
      <c r="F55" s="11"/>
      <c r="G55" s="11"/>
      <c r="H55" s="4"/>
    </row>
    <row r="56" spans="1:12" ht="57">
      <c r="C56" s="33" t="s">
        <v>105</v>
      </c>
      <c r="D56" s="23" t="s">
        <v>106</v>
      </c>
      <c r="E56" s="11"/>
      <c r="F56" s="11"/>
      <c r="G56" s="11"/>
      <c r="H56" s="4"/>
    </row>
    <row r="57" spans="1:12" ht="57">
      <c r="C57" s="34" t="s">
        <v>107</v>
      </c>
      <c r="D57" s="28" t="s">
        <v>108</v>
      </c>
      <c r="E57" s="12"/>
      <c r="F57" s="12"/>
      <c r="G57" s="12"/>
      <c r="H57" s="4"/>
    </row>
    <row r="59" spans="1:12">
      <c r="B59" s="3" t="s">
        <v>109</v>
      </c>
    </row>
    <row r="60" spans="1:12">
      <c r="A60" s="3"/>
      <c r="B60" s="3"/>
      <c r="C60" s="5" t="s">
        <v>36</v>
      </c>
      <c r="D60" s="5" t="s">
        <v>110</v>
      </c>
      <c r="E60" s="6" t="s">
        <v>37</v>
      </c>
      <c r="F60" s="6" t="s">
        <v>38</v>
      </c>
      <c r="G60" s="6" t="s">
        <v>39</v>
      </c>
      <c r="H60" s="5" t="s">
        <v>40</v>
      </c>
    </row>
    <row r="61" spans="1:12" ht="38">
      <c r="C61" s="32" t="s">
        <v>41</v>
      </c>
      <c r="D61" s="21" t="s">
        <v>111</v>
      </c>
      <c r="E61" s="13"/>
      <c r="F61" s="13"/>
      <c r="G61" s="13"/>
      <c r="H61" s="4"/>
    </row>
    <row r="62" spans="1:12" ht="76">
      <c r="C62" s="32" t="s">
        <v>43</v>
      </c>
      <c r="D62" s="9" t="s">
        <v>112</v>
      </c>
      <c r="E62" s="11"/>
      <c r="F62" s="11"/>
      <c r="G62" s="11"/>
      <c r="H62" s="4"/>
      <c r="J62" t="b">
        <v>0</v>
      </c>
      <c r="K62" t="b">
        <v>0</v>
      </c>
    </row>
    <row r="63" spans="1:12" ht="38">
      <c r="C63" s="32" t="s">
        <v>45</v>
      </c>
      <c r="D63" s="9" t="s">
        <v>113</v>
      </c>
      <c r="E63" s="11"/>
      <c r="F63" s="11"/>
      <c r="G63" s="11"/>
      <c r="H63" s="4"/>
      <c r="J63" t="b">
        <v>0</v>
      </c>
    </row>
    <row r="64" spans="1:12" ht="133">
      <c r="C64" s="32" t="s">
        <v>114</v>
      </c>
      <c r="D64" s="19" t="s">
        <v>115</v>
      </c>
      <c r="E64" s="11"/>
      <c r="F64" s="11"/>
      <c r="G64" s="11"/>
      <c r="H64" s="4"/>
      <c r="J64" t="b">
        <v>0</v>
      </c>
      <c r="K64" t="b">
        <v>0</v>
      </c>
      <c r="L64" t="b">
        <v>0</v>
      </c>
    </row>
    <row r="65" spans="1:12" ht="57">
      <c r="C65" s="34" t="s">
        <v>53</v>
      </c>
      <c r="D65" s="20" t="s">
        <v>116</v>
      </c>
      <c r="E65" s="12"/>
      <c r="F65" s="12"/>
      <c r="G65" s="12"/>
      <c r="H65" s="24"/>
      <c r="J65" t="b">
        <v>0</v>
      </c>
      <c r="K65" t="b">
        <v>0</v>
      </c>
      <c r="L65" t="b">
        <v>0</v>
      </c>
    </row>
    <row r="66" spans="1:12" ht="133">
      <c r="C66" s="204" t="s">
        <v>117</v>
      </c>
      <c r="D66" s="205" t="s">
        <v>118</v>
      </c>
      <c r="E66" s="12"/>
      <c r="F66" s="12"/>
      <c r="G66" s="12"/>
      <c r="H66" s="24"/>
    </row>
    <row r="67" spans="1:12">
      <c r="C67" s="206" t="s">
        <v>119</v>
      </c>
      <c r="D67" s="200"/>
      <c r="E67" s="22"/>
      <c r="F67" s="22"/>
      <c r="G67" s="197"/>
      <c r="H67" s="24"/>
    </row>
    <row r="68" spans="1:12">
      <c r="C68" s="206" t="s">
        <v>120</v>
      </c>
      <c r="D68" s="200"/>
      <c r="E68" s="22"/>
      <c r="F68" s="22"/>
      <c r="G68" s="197"/>
      <c r="H68" s="24"/>
    </row>
    <row r="69" spans="1:12" ht="171">
      <c r="C69" s="207" t="s">
        <v>121</v>
      </c>
      <c r="D69" s="208" t="s">
        <v>122</v>
      </c>
      <c r="E69" s="12"/>
      <c r="F69" s="12"/>
      <c r="G69" s="12"/>
      <c r="H69" s="24"/>
    </row>
    <row r="70" spans="1:12" ht="152">
      <c r="C70" s="207" t="s">
        <v>123</v>
      </c>
      <c r="D70" s="208" t="s">
        <v>124</v>
      </c>
      <c r="E70" s="12"/>
      <c r="F70" s="12"/>
      <c r="G70" s="12"/>
      <c r="H70" s="24"/>
    </row>
    <row r="71" spans="1:12">
      <c r="C71" s="254" t="s">
        <v>125</v>
      </c>
      <c r="D71" s="255"/>
      <c r="E71" s="11"/>
      <c r="F71" s="11"/>
      <c r="G71" s="38"/>
      <c r="H71" s="24"/>
    </row>
    <row r="72" spans="1:12">
      <c r="C72" s="256" t="s">
        <v>89</v>
      </c>
      <c r="D72" s="255"/>
      <c r="E72" s="11"/>
      <c r="F72" s="11"/>
      <c r="G72" s="38"/>
      <c r="H72" s="39"/>
    </row>
    <row r="73" spans="1:12" ht="209">
      <c r="C73" s="32" t="s">
        <v>126</v>
      </c>
      <c r="D73" s="9" t="s">
        <v>127</v>
      </c>
      <c r="E73" s="11"/>
      <c r="F73" s="11"/>
      <c r="G73" s="38"/>
      <c r="H73" s="201" t="s">
        <v>128</v>
      </c>
      <c r="J73" t="b">
        <v>0</v>
      </c>
      <c r="K73" t="b">
        <v>0</v>
      </c>
      <c r="L73" t="b">
        <v>0</v>
      </c>
    </row>
    <row r="74" spans="1:12" ht="209">
      <c r="C74" s="32" t="s">
        <v>129</v>
      </c>
      <c r="D74" s="9" t="s">
        <v>130</v>
      </c>
      <c r="E74" s="11"/>
      <c r="F74" s="11"/>
      <c r="G74" s="11"/>
      <c r="H74" s="7"/>
      <c r="J74" t="b">
        <v>0</v>
      </c>
      <c r="L74" t="b">
        <v>0</v>
      </c>
    </row>
    <row r="76" spans="1:12">
      <c r="B76" s="3" t="s">
        <v>131</v>
      </c>
    </row>
    <row r="77" spans="1:12">
      <c r="A77" s="3"/>
      <c r="B77" s="3"/>
      <c r="C77" s="5" t="s">
        <v>36</v>
      </c>
      <c r="D77" s="5" t="s">
        <v>110</v>
      </c>
      <c r="E77" s="6" t="s">
        <v>37</v>
      </c>
      <c r="F77" s="6" t="s">
        <v>38</v>
      </c>
      <c r="G77" s="6" t="s">
        <v>39</v>
      </c>
      <c r="H77" s="5" t="s">
        <v>40</v>
      </c>
    </row>
    <row r="78" spans="1:12" ht="19">
      <c r="C78" s="32" t="s">
        <v>41</v>
      </c>
      <c r="D78" s="10" t="s">
        <v>132</v>
      </c>
      <c r="E78" s="13"/>
      <c r="F78" s="13"/>
      <c r="G78" s="13"/>
      <c r="H78" s="4"/>
      <c r="J78" t="b">
        <v>1</v>
      </c>
      <c r="K78" t="b">
        <v>1</v>
      </c>
      <c r="L78" t="b">
        <v>1</v>
      </c>
    </row>
    <row r="79" spans="1:12" ht="38">
      <c r="C79" s="33" t="s">
        <v>43</v>
      </c>
      <c r="D79" s="19" t="s">
        <v>133</v>
      </c>
      <c r="E79" s="11"/>
      <c r="F79" s="11"/>
      <c r="G79" s="11"/>
      <c r="H79" s="4"/>
      <c r="J79" t="b">
        <v>0</v>
      </c>
      <c r="K79" t="b">
        <v>0</v>
      </c>
      <c r="L79" t="b">
        <v>0</v>
      </c>
    </row>
    <row r="80" spans="1:12" ht="169.75" customHeight="1">
      <c r="C80" s="33" t="s">
        <v>45</v>
      </c>
      <c r="D80" s="19" t="s">
        <v>134</v>
      </c>
      <c r="E80" s="11"/>
      <c r="F80" s="11"/>
      <c r="G80" s="11"/>
      <c r="H80" s="40" t="s">
        <v>135</v>
      </c>
      <c r="J80" t="b">
        <v>0</v>
      </c>
      <c r="K80" t="b">
        <v>0</v>
      </c>
      <c r="L80" t="b">
        <v>0</v>
      </c>
    </row>
    <row r="81" spans="3:10" ht="57">
      <c r="C81" s="33" t="s">
        <v>48</v>
      </c>
      <c r="D81" s="19" t="s">
        <v>136</v>
      </c>
      <c r="E81" s="11"/>
      <c r="F81" s="11"/>
      <c r="G81" s="11"/>
      <c r="H81" s="41" t="s">
        <v>137</v>
      </c>
    </row>
    <row r="82" spans="3:10" ht="95">
      <c r="C82" s="33" t="s">
        <v>138</v>
      </c>
      <c r="D82" s="9" t="s">
        <v>139</v>
      </c>
      <c r="E82" s="11"/>
      <c r="F82" s="11"/>
      <c r="G82" s="11"/>
      <c r="H82" s="4"/>
      <c r="J82" t="b">
        <v>0</v>
      </c>
    </row>
    <row r="83" spans="3:10" ht="57">
      <c r="C83" s="33" t="s">
        <v>55</v>
      </c>
      <c r="D83" s="9" t="s">
        <v>140</v>
      </c>
      <c r="E83" s="11"/>
      <c r="F83" s="11"/>
      <c r="G83" s="11"/>
      <c r="H83" s="4"/>
      <c r="J83" t="b">
        <v>0</v>
      </c>
    </row>
    <row r="84" spans="3:10" ht="76">
      <c r="C84" s="33" t="s">
        <v>57</v>
      </c>
      <c r="D84" s="19" t="s">
        <v>141</v>
      </c>
      <c r="E84" s="11"/>
      <c r="F84" s="11"/>
      <c r="G84" s="11"/>
      <c r="H84" s="4"/>
    </row>
    <row r="85" spans="3:10" ht="57">
      <c r="C85" s="34" t="s">
        <v>59</v>
      </c>
      <c r="D85" s="20" t="s">
        <v>142</v>
      </c>
      <c r="E85" s="12"/>
      <c r="F85" s="12"/>
      <c r="G85" s="12"/>
      <c r="H85" s="41" t="s">
        <v>143</v>
      </c>
      <c r="J85" t="b">
        <v>0</v>
      </c>
    </row>
    <row r="86" spans="3:10" ht="30" customHeight="1">
      <c r="C86" s="37" t="s">
        <v>126</v>
      </c>
      <c r="D86" s="4" t="s">
        <v>144</v>
      </c>
      <c r="E86" s="4"/>
      <c r="F86" s="4"/>
      <c r="G86" s="4"/>
      <c r="H86" s="4"/>
    </row>
    <row r="87" spans="3:10" ht="30" customHeight="1">
      <c r="C87" s="37" t="s">
        <v>63</v>
      </c>
      <c r="D87" s="4" t="s">
        <v>145</v>
      </c>
      <c r="E87" s="4"/>
      <c r="F87" s="4"/>
      <c r="G87" s="4"/>
      <c r="H87" s="4"/>
    </row>
    <row r="88" spans="3:10" ht="30" customHeight="1">
      <c r="C88" s="37" t="s">
        <v>65</v>
      </c>
      <c r="D88" s="209" t="s">
        <v>146</v>
      </c>
      <c r="E88" s="4"/>
      <c r="F88" s="4"/>
      <c r="G88" s="4"/>
      <c r="H88" s="4"/>
    </row>
    <row r="89" spans="3:10" ht="30" customHeight="1">
      <c r="C89" s="210" t="s">
        <v>147</v>
      </c>
      <c r="D89" s="4" t="s">
        <v>148</v>
      </c>
      <c r="E89" s="4"/>
      <c r="F89" s="4"/>
      <c r="G89" s="4"/>
      <c r="H89" s="4"/>
    </row>
    <row r="90" spans="3:10" ht="30" customHeight="1">
      <c r="C90" s="207" t="s">
        <v>149</v>
      </c>
      <c r="D90" s="4" t="s">
        <v>150</v>
      </c>
      <c r="E90" s="4"/>
      <c r="F90" s="4"/>
      <c r="G90" s="4"/>
      <c r="H90" s="4"/>
    </row>
    <row r="91" spans="3:10" ht="30" customHeight="1">
      <c r="C91" s="207" t="s">
        <v>151</v>
      </c>
      <c r="D91" s="4" t="s">
        <v>152</v>
      </c>
      <c r="E91" s="4"/>
      <c r="F91" s="4"/>
      <c r="G91" s="4"/>
      <c r="H91" s="4"/>
    </row>
  </sheetData>
  <mergeCells count="19">
    <mergeCell ref="A1:G1"/>
    <mergeCell ref="C12:C13"/>
    <mergeCell ref="C14:C16"/>
    <mergeCell ref="C25:C26"/>
    <mergeCell ref="E25:E26"/>
    <mergeCell ref="F25:F26"/>
    <mergeCell ref="G25:G26"/>
    <mergeCell ref="C23:C24"/>
    <mergeCell ref="H40:H41"/>
    <mergeCell ref="H44:H46"/>
    <mergeCell ref="H49:H50"/>
    <mergeCell ref="C71:D71"/>
    <mergeCell ref="C72:D72"/>
    <mergeCell ref="C40:D40"/>
    <mergeCell ref="C41:D41"/>
    <mergeCell ref="C45:D45"/>
    <mergeCell ref="C46:D46"/>
    <mergeCell ref="C49:D49"/>
    <mergeCell ref="C50:D50"/>
  </mergeCells>
  <phoneticPr fontId="2"/>
  <conditionalFormatting sqref="C41:D41">
    <cfRule type="expression" dxfId="14" priority="7">
      <formula>J12=TRUE</formula>
    </cfRule>
  </conditionalFormatting>
  <conditionalFormatting sqref="C46:D46">
    <cfRule type="expression" dxfId="13" priority="5">
      <formula>$J$14=TRUE</formula>
    </cfRule>
  </conditionalFormatting>
  <conditionalFormatting sqref="C50:D50">
    <cfRule type="expression" dxfId="12" priority="3">
      <formula>$J$15=TRUE</formula>
    </cfRule>
  </conditionalFormatting>
  <conditionalFormatting sqref="C72:D72">
    <cfRule type="expression" dxfId="11" priority="1">
      <formula>$J$16=TRUE</formula>
    </cfRule>
  </conditionalFormatting>
  <conditionalFormatting sqref="C40:G44">
    <cfRule type="expression" dxfId="10" priority="12">
      <formula>$J$12=FALSE</formula>
    </cfRule>
  </conditionalFormatting>
  <conditionalFormatting sqref="C45:G48">
    <cfRule type="expression" dxfId="9" priority="6">
      <formula>$J$14=FALSE</formula>
    </cfRule>
  </conditionalFormatting>
  <conditionalFormatting sqref="C47:G48">
    <cfRule type="expression" dxfId="8" priority="11">
      <formula>$L$45=TRUE</formula>
    </cfRule>
  </conditionalFormatting>
  <conditionalFormatting sqref="C49:G57">
    <cfRule type="expression" dxfId="7" priority="4">
      <formula>$J$15=FALSE</formula>
    </cfRule>
  </conditionalFormatting>
  <conditionalFormatting sqref="C51:G52">
    <cfRule type="expression" dxfId="6" priority="14">
      <formula>$D$8=""</formula>
    </cfRule>
    <cfRule type="expression" dxfId="5" priority="15">
      <formula>$D$8&lt;&gt;"NTT"</formula>
    </cfRule>
  </conditionalFormatting>
  <conditionalFormatting sqref="C51:G57">
    <cfRule type="expression" dxfId="4" priority="9">
      <formula>$L$49=TRUE</formula>
    </cfRule>
  </conditionalFormatting>
  <conditionalFormatting sqref="C71:G74">
    <cfRule type="expression" dxfId="3" priority="2">
      <formula>$J$16=FALSE</formula>
    </cfRule>
  </conditionalFormatting>
  <conditionalFormatting sqref="C73:G74">
    <cfRule type="expression" dxfId="2" priority="13">
      <formula>$L$71=TRUE</formula>
    </cfRule>
  </conditionalFormatting>
  <conditionalFormatting sqref="D13">
    <cfRule type="expression" dxfId="1" priority="8">
      <formula>OR($J$12=TRUE,$K$12=TRUE)</formula>
    </cfRule>
  </conditionalFormatting>
  <conditionalFormatting sqref="D26">
    <cfRule type="expression" dxfId="0" priority="10">
      <formula>$K$25=TRUE</formula>
    </cfRule>
  </conditionalFormatting>
  <dataValidations count="1">
    <dataValidation type="list" allowBlank="1" showInputMessage="1" showErrorMessage="1" sqref="D8" xr:uid="{9BD8950D-B25D-4E09-815B-048FCE787287}">
      <formula1>$N$7:$N$14</formula1>
    </dataValidation>
  </dataValidations>
  <pageMargins left="0.7" right="0.7" top="0.75" bottom="0.75" header="0.3" footer="0.3"/>
  <pageSetup paperSize="9" orientation="portrait" horizontalDpi="300" verticalDpi="300" r:id="rId1"/>
  <ignoredErrors>
    <ignoredError sqref="C85:C88" numberStoredAsText="1"/>
  </ignoredErrors>
  <drawing r:id="rId2"/>
  <legacyDrawing r:id="rId3"/>
  <mc:AlternateContent xmlns:mc="http://schemas.openxmlformats.org/markup-compatibility/2006">
    <mc:Choice Requires="x14">
      <controls>
        <mc:AlternateContent xmlns:mc="http://schemas.openxmlformats.org/markup-compatibility/2006">
          <mc:Choice Requires="x14">
            <control shapeId="9217" r:id="rId4" name="Check Box 1">
              <controlPr defaultSize="0" autoFill="0" autoLine="0" autoPict="0">
                <anchor moveWithCells="1">
                  <from>
                    <xdr:col>4</xdr:col>
                    <xdr:colOff>0</xdr:colOff>
                    <xdr:row>20</xdr:row>
                    <xdr:rowOff>0</xdr:rowOff>
                  </from>
                  <to>
                    <xdr:col>5</xdr:col>
                    <xdr:colOff>0</xdr:colOff>
                    <xdr:row>21</xdr:row>
                    <xdr:rowOff>0</xdr:rowOff>
                  </to>
                </anchor>
              </controlPr>
            </control>
          </mc:Choice>
        </mc:AlternateContent>
        <mc:AlternateContent xmlns:mc="http://schemas.openxmlformats.org/markup-compatibility/2006">
          <mc:Choice Requires="x14">
            <control shapeId="9218" r:id="rId5" name="Check Box 2">
              <controlPr defaultSize="0" autoFill="0" autoLine="0" autoPict="0">
                <anchor moveWithCells="1">
                  <from>
                    <xdr:col>5</xdr:col>
                    <xdr:colOff>0</xdr:colOff>
                    <xdr:row>20</xdr:row>
                    <xdr:rowOff>0</xdr:rowOff>
                  </from>
                  <to>
                    <xdr:col>6</xdr:col>
                    <xdr:colOff>0</xdr:colOff>
                    <xdr:row>21</xdr:row>
                    <xdr:rowOff>0</xdr:rowOff>
                  </to>
                </anchor>
              </controlPr>
            </control>
          </mc:Choice>
        </mc:AlternateContent>
        <mc:AlternateContent xmlns:mc="http://schemas.openxmlformats.org/markup-compatibility/2006">
          <mc:Choice Requires="x14">
            <control shapeId="9219" r:id="rId6" name="Check Box 3">
              <controlPr defaultSize="0" autoFill="0" autoLine="0" autoPict="0">
                <anchor moveWithCells="1">
                  <from>
                    <xdr:col>6</xdr:col>
                    <xdr:colOff>0</xdr:colOff>
                    <xdr:row>20</xdr:row>
                    <xdr:rowOff>0</xdr:rowOff>
                  </from>
                  <to>
                    <xdr:col>7</xdr:col>
                    <xdr:colOff>0</xdr:colOff>
                    <xdr:row>21</xdr:row>
                    <xdr:rowOff>0</xdr:rowOff>
                  </to>
                </anchor>
              </controlPr>
            </control>
          </mc:Choice>
        </mc:AlternateContent>
        <mc:AlternateContent xmlns:mc="http://schemas.openxmlformats.org/markup-compatibility/2006">
          <mc:Choice Requires="x14">
            <control shapeId="9220" r:id="rId7" name="Check Box 4">
              <controlPr defaultSize="0" autoFill="0" autoLine="0" autoPict="0">
                <anchor moveWithCells="1">
                  <from>
                    <xdr:col>4</xdr:col>
                    <xdr:colOff>0</xdr:colOff>
                    <xdr:row>20</xdr:row>
                    <xdr:rowOff>990600</xdr:rowOff>
                  </from>
                  <to>
                    <xdr:col>5</xdr:col>
                    <xdr:colOff>0</xdr:colOff>
                    <xdr:row>22</xdr:row>
                    <xdr:rowOff>0</xdr:rowOff>
                  </to>
                </anchor>
              </controlPr>
            </control>
          </mc:Choice>
        </mc:AlternateContent>
        <mc:AlternateContent xmlns:mc="http://schemas.openxmlformats.org/markup-compatibility/2006">
          <mc:Choice Requires="x14">
            <control shapeId="9221" r:id="rId8" name="Check Box 5">
              <controlPr defaultSize="0" autoFill="0" autoLine="0" autoPict="0">
                <anchor moveWithCells="1">
                  <from>
                    <xdr:col>5</xdr:col>
                    <xdr:colOff>38100</xdr:colOff>
                    <xdr:row>21</xdr:row>
                    <xdr:rowOff>12700</xdr:rowOff>
                  </from>
                  <to>
                    <xdr:col>6</xdr:col>
                    <xdr:colOff>38100</xdr:colOff>
                    <xdr:row>22</xdr:row>
                    <xdr:rowOff>12700</xdr:rowOff>
                  </to>
                </anchor>
              </controlPr>
            </control>
          </mc:Choice>
        </mc:AlternateContent>
        <mc:AlternateContent xmlns:mc="http://schemas.openxmlformats.org/markup-compatibility/2006">
          <mc:Choice Requires="x14">
            <control shapeId="9222" r:id="rId9" name="Check Box 6">
              <controlPr defaultSize="0" autoFill="0" autoLine="0" autoPict="0">
                <anchor moveWithCells="1">
                  <from>
                    <xdr:col>5</xdr:col>
                    <xdr:colOff>660400</xdr:colOff>
                    <xdr:row>21</xdr:row>
                    <xdr:rowOff>0</xdr:rowOff>
                  </from>
                  <to>
                    <xdr:col>7</xdr:col>
                    <xdr:colOff>0</xdr:colOff>
                    <xdr:row>22</xdr:row>
                    <xdr:rowOff>0</xdr:rowOff>
                  </to>
                </anchor>
              </controlPr>
            </control>
          </mc:Choice>
        </mc:AlternateContent>
        <mc:AlternateContent xmlns:mc="http://schemas.openxmlformats.org/markup-compatibility/2006">
          <mc:Choice Requires="x14">
            <control shapeId="9223" r:id="rId10" name="Check Box 7">
              <controlPr defaultSize="0" autoFill="0" autoLine="0" autoPict="0">
                <anchor moveWithCells="1">
                  <from>
                    <xdr:col>4</xdr:col>
                    <xdr:colOff>0</xdr:colOff>
                    <xdr:row>22</xdr:row>
                    <xdr:rowOff>0</xdr:rowOff>
                  </from>
                  <to>
                    <xdr:col>5</xdr:col>
                    <xdr:colOff>0</xdr:colOff>
                    <xdr:row>23</xdr:row>
                    <xdr:rowOff>0</xdr:rowOff>
                  </to>
                </anchor>
              </controlPr>
            </control>
          </mc:Choice>
        </mc:AlternateContent>
        <mc:AlternateContent xmlns:mc="http://schemas.openxmlformats.org/markup-compatibility/2006">
          <mc:Choice Requires="x14">
            <control shapeId="9224" r:id="rId11" name="Check Box 8">
              <controlPr defaultSize="0" autoFill="0" autoLine="0" autoPict="0">
                <anchor moveWithCells="1">
                  <from>
                    <xdr:col>5</xdr:col>
                    <xdr:colOff>0</xdr:colOff>
                    <xdr:row>22</xdr:row>
                    <xdr:rowOff>0</xdr:rowOff>
                  </from>
                  <to>
                    <xdr:col>6</xdr:col>
                    <xdr:colOff>0</xdr:colOff>
                    <xdr:row>23</xdr:row>
                    <xdr:rowOff>0</xdr:rowOff>
                  </to>
                </anchor>
              </controlPr>
            </control>
          </mc:Choice>
        </mc:AlternateContent>
        <mc:AlternateContent xmlns:mc="http://schemas.openxmlformats.org/markup-compatibility/2006">
          <mc:Choice Requires="x14">
            <control shapeId="9225" r:id="rId12" name="Check Box 9">
              <controlPr defaultSize="0" autoFill="0" autoLine="0" autoPict="0">
                <anchor moveWithCells="1">
                  <from>
                    <xdr:col>6</xdr:col>
                    <xdr:colOff>0</xdr:colOff>
                    <xdr:row>22</xdr:row>
                    <xdr:rowOff>0</xdr:rowOff>
                  </from>
                  <to>
                    <xdr:col>7</xdr:col>
                    <xdr:colOff>0</xdr:colOff>
                    <xdr:row>23</xdr:row>
                    <xdr:rowOff>0</xdr:rowOff>
                  </to>
                </anchor>
              </controlPr>
            </control>
          </mc:Choice>
        </mc:AlternateContent>
        <mc:AlternateContent xmlns:mc="http://schemas.openxmlformats.org/markup-compatibility/2006">
          <mc:Choice Requires="x14">
            <control shapeId="9226" r:id="rId13" name="Check Box 10">
              <controlPr defaultSize="0" autoFill="0" autoLine="0" autoPict="0">
                <anchor moveWithCells="1">
                  <from>
                    <xdr:col>4</xdr:col>
                    <xdr:colOff>12700</xdr:colOff>
                    <xdr:row>24</xdr:row>
                    <xdr:rowOff>38100</xdr:rowOff>
                  </from>
                  <to>
                    <xdr:col>4</xdr:col>
                    <xdr:colOff>673100</xdr:colOff>
                    <xdr:row>26</xdr:row>
                    <xdr:rowOff>12700</xdr:rowOff>
                  </to>
                </anchor>
              </controlPr>
            </control>
          </mc:Choice>
        </mc:AlternateContent>
        <mc:AlternateContent xmlns:mc="http://schemas.openxmlformats.org/markup-compatibility/2006">
          <mc:Choice Requires="x14">
            <control shapeId="9227" r:id="rId14" name="Check Box 11">
              <controlPr defaultSize="0" autoFill="0" autoLine="0" autoPict="0">
                <anchor moveWithCells="1">
                  <from>
                    <xdr:col>5</xdr:col>
                    <xdr:colOff>0</xdr:colOff>
                    <xdr:row>23</xdr:row>
                    <xdr:rowOff>241300</xdr:rowOff>
                  </from>
                  <to>
                    <xdr:col>6</xdr:col>
                    <xdr:colOff>0</xdr:colOff>
                    <xdr:row>26</xdr:row>
                    <xdr:rowOff>0</xdr:rowOff>
                  </to>
                </anchor>
              </controlPr>
            </control>
          </mc:Choice>
        </mc:AlternateContent>
        <mc:AlternateContent xmlns:mc="http://schemas.openxmlformats.org/markup-compatibility/2006">
          <mc:Choice Requires="x14">
            <control shapeId="9228" r:id="rId15" name="Check Box 12">
              <controlPr defaultSize="0" autoFill="0" autoLine="0" autoPict="0">
                <anchor moveWithCells="1">
                  <from>
                    <xdr:col>6</xdr:col>
                    <xdr:colOff>0</xdr:colOff>
                    <xdr:row>24</xdr:row>
                    <xdr:rowOff>0</xdr:rowOff>
                  </from>
                  <to>
                    <xdr:col>7</xdr:col>
                    <xdr:colOff>0</xdr:colOff>
                    <xdr:row>26</xdr:row>
                    <xdr:rowOff>25400</xdr:rowOff>
                  </to>
                </anchor>
              </controlPr>
            </control>
          </mc:Choice>
        </mc:AlternateContent>
        <mc:AlternateContent xmlns:mc="http://schemas.openxmlformats.org/markup-compatibility/2006">
          <mc:Choice Requires="x14">
            <control shapeId="9229" r:id="rId16" name="Check Box 13">
              <controlPr defaultSize="0" autoFill="0" autoLine="0" autoPict="0">
                <anchor moveWithCells="1">
                  <from>
                    <xdr:col>4</xdr:col>
                    <xdr:colOff>0</xdr:colOff>
                    <xdr:row>26</xdr:row>
                    <xdr:rowOff>0</xdr:rowOff>
                  </from>
                  <to>
                    <xdr:col>5</xdr:col>
                    <xdr:colOff>0</xdr:colOff>
                    <xdr:row>27</xdr:row>
                    <xdr:rowOff>0</xdr:rowOff>
                  </to>
                </anchor>
              </controlPr>
            </control>
          </mc:Choice>
        </mc:AlternateContent>
        <mc:AlternateContent xmlns:mc="http://schemas.openxmlformats.org/markup-compatibility/2006">
          <mc:Choice Requires="x14">
            <control shapeId="9230" r:id="rId17" name="Check Box 14">
              <controlPr defaultSize="0" autoFill="0" autoLine="0" autoPict="0">
                <anchor moveWithCells="1">
                  <from>
                    <xdr:col>5</xdr:col>
                    <xdr:colOff>0</xdr:colOff>
                    <xdr:row>26</xdr:row>
                    <xdr:rowOff>0</xdr:rowOff>
                  </from>
                  <to>
                    <xdr:col>6</xdr:col>
                    <xdr:colOff>0</xdr:colOff>
                    <xdr:row>27</xdr:row>
                    <xdr:rowOff>12700</xdr:rowOff>
                  </to>
                </anchor>
              </controlPr>
            </control>
          </mc:Choice>
        </mc:AlternateContent>
        <mc:AlternateContent xmlns:mc="http://schemas.openxmlformats.org/markup-compatibility/2006">
          <mc:Choice Requires="x14">
            <control shapeId="9231" r:id="rId18" name="Check Box 15">
              <controlPr defaultSize="0" autoFill="0" autoLine="0" autoPict="0">
                <anchor moveWithCells="1">
                  <from>
                    <xdr:col>6</xdr:col>
                    <xdr:colOff>0</xdr:colOff>
                    <xdr:row>26</xdr:row>
                    <xdr:rowOff>0</xdr:rowOff>
                  </from>
                  <to>
                    <xdr:col>7</xdr:col>
                    <xdr:colOff>0</xdr:colOff>
                    <xdr:row>27</xdr:row>
                    <xdr:rowOff>0</xdr:rowOff>
                  </to>
                </anchor>
              </controlPr>
            </control>
          </mc:Choice>
        </mc:AlternateContent>
        <mc:AlternateContent xmlns:mc="http://schemas.openxmlformats.org/markup-compatibility/2006">
          <mc:Choice Requires="x14">
            <control shapeId="9232" r:id="rId19" name="Check Box 16">
              <controlPr defaultSize="0" autoFill="0" autoLine="0" autoPict="0">
                <anchor moveWithCells="1">
                  <from>
                    <xdr:col>4</xdr:col>
                    <xdr:colOff>0</xdr:colOff>
                    <xdr:row>27</xdr:row>
                    <xdr:rowOff>0</xdr:rowOff>
                  </from>
                  <to>
                    <xdr:col>5</xdr:col>
                    <xdr:colOff>0</xdr:colOff>
                    <xdr:row>27</xdr:row>
                    <xdr:rowOff>228600</xdr:rowOff>
                  </to>
                </anchor>
              </controlPr>
            </control>
          </mc:Choice>
        </mc:AlternateContent>
        <mc:AlternateContent xmlns:mc="http://schemas.openxmlformats.org/markup-compatibility/2006">
          <mc:Choice Requires="x14">
            <control shapeId="9233" r:id="rId20" name="Check Box 17">
              <controlPr defaultSize="0" autoFill="0" autoLine="0" autoPict="0">
                <anchor moveWithCells="1">
                  <from>
                    <xdr:col>5</xdr:col>
                    <xdr:colOff>0</xdr:colOff>
                    <xdr:row>27</xdr:row>
                    <xdr:rowOff>0</xdr:rowOff>
                  </from>
                  <to>
                    <xdr:col>6</xdr:col>
                    <xdr:colOff>0</xdr:colOff>
                    <xdr:row>27</xdr:row>
                    <xdr:rowOff>228600</xdr:rowOff>
                  </to>
                </anchor>
              </controlPr>
            </control>
          </mc:Choice>
        </mc:AlternateContent>
        <mc:AlternateContent xmlns:mc="http://schemas.openxmlformats.org/markup-compatibility/2006">
          <mc:Choice Requires="x14">
            <control shapeId="9234" r:id="rId21" name="Check Box 18">
              <controlPr defaultSize="0" autoFill="0" autoLine="0" autoPict="0">
                <anchor moveWithCells="1">
                  <from>
                    <xdr:col>6</xdr:col>
                    <xdr:colOff>0</xdr:colOff>
                    <xdr:row>27</xdr:row>
                    <xdr:rowOff>0</xdr:rowOff>
                  </from>
                  <to>
                    <xdr:col>7</xdr:col>
                    <xdr:colOff>0</xdr:colOff>
                    <xdr:row>27</xdr:row>
                    <xdr:rowOff>228600</xdr:rowOff>
                  </to>
                </anchor>
              </controlPr>
            </control>
          </mc:Choice>
        </mc:AlternateContent>
        <mc:AlternateContent xmlns:mc="http://schemas.openxmlformats.org/markup-compatibility/2006">
          <mc:Choice Requires="x14">
            <control shapeId="9235" r:id="rId22" name="Check Box 19">
              <controlPr defaultSize="0" autoFill="0" autoLine="0" autoPict="0">
                <anchor moveWithCells="1">
                  <from>
                    <xdr:col>4</xdr:col>
                    <xdr:colOff>0</xdr:colOff>
                    <xdr:row>28</xdr:row>
                    <xdr:rowOff>0</xdr:rowOff>
                  </from>
                  <to>
                    <xdr:col>5</xdr:col>
                    <xdr:colOff>0</xdr:colOff>
                    <xdr:row>29</xdr:row>
                    <xdr:rowOff>0</xdr:rowOff>
                  </to>
                </anchor>
              </controlPr>
            </control>
          </mc:Choice>
        </mc:AlternateContent>
        <mc:AlternateContent xmlns:mc="http://schemas.openxmlformats.org/markup-compatibility/2006">
          <mc:Choice Requires="x14">
            <control shapeId="9236" r:id="rId23" name="Check Box 20">
              <controlPr defaultSize="0" autoFill="0" autoLine="0" autoPict="0">
                <anchor moveWithCells="1">
                  <from>
                    <xdr:col>5</xdr:col>
                    <xdr:colOff>0</xdr:colOff>
                    <xdr:row>28</xdr:row>
                    <xdr:rowOff>0</xdr:rowOff>
                  </from>
                  <to>
                    <xdr:col>6</xdr:col>
                    <xdr:colOff>0</xdr:colOff>
                    <xdr:row>29</xdr:row>
                    <xdr:rowOff>0</xdr:rowOff>
                  </to>
                </anchor>
              </controlPr>
            </control>
          </mc:Choice>
        </mc:AlternateContent>
        <mc:AlternateContent xmlns:mc="http://schemas.openxmlformats.org/markup-compatibility/2006">
          <mc:Choice Requires="x14">
            <control shapeId="9237" r:id="rId24" name="Check Box 21">
              <controlPr defaultSize="0" autoFill="0" autoLine="0" autoPict="0">
                <anchor moveWithCells="1">
                  <from>
                    <xdr:col>6</xdr:col>
                    <xdr:colOff>0</xdr:colOff>
                    <xdr:row>28</xdr:row>
                    <xdr:rowOff>0</xdr:rowOff>
                  </from>
                  <to>
                    <xdr:col>7</xdr:col>
                    <xdr:colOff>0</xdr:colOff>
                    <xdr:row>29</xdr:row>
                    <xdr:rowOff>0</xdr:rowOff>
                  </to>
                </anchor>
              </controlPr>
            </control>
          </mc:Choice>
        </mc:AlternateContent>
        <mc:AlternateContent xmlns:mc="http://schemas.openxmlformats.org/markup-compatibility/2006">
          <mc:Choice Requires="x14">
            <control shapeId="9238" r:id="rId25" name="Check Box 22">
              <controlPr defaultSize="0" autoFill="0" autoLine="0" autoPict="0">
                <anchor moveWithCells="1">
                  <from>
                    <xdr:col>4</xdr:col>
                    <xdr:colOff>0</xdr:colOff>
                    <xdr:row>29</xdr:row>
                    <xdr:rowOff>0</xdr:rowOff>
                  </from>
                  <to>
                    <xdr:col>5</xdr:col>
                    <xdr:colOff>0</xdr:colOff>
                    <xdr:row>30</xdr:row>
                    <xdr:rowOff>0</xdr:rowOff>
                  </to>
                </anchor>
              </controlPr>
            </control>
          </mc:Choice>
        </mc:AlternateContent>
        <mc:AlternateContent xmlns:mc="http://schemas.openxmlformats.org/markup-compatibility/2006">
          <mc:Choice Requires="x14">
            <control shapeId="9239" r:id="rId26" name="Check Box 23">
              <controlPr defaultSize="0" autoFill="0" autoLine="0" autoPict="0">
                <anchor moveWithCells="1">
                  <from>
                    <xdr:col>5</xdr:col>
                    <xdr:colOff>0</xdr:colOff>
                    <xdr:row>29</xdr:row>
                    <xdr:rowOff>0</xdr:rowOff>
                  </from>
                  <to>
                    <xdr:col>6</xdr:col>
                    <xdr:colOff>0</xdr:colOff>
                    <xdr:row>30</xdr:row>
                    <xdr:rowOff>0</xdr:rowOff>
                  </to>
                </anchor>
              </controlPr>
            </control>
          </mc:Choice>
        </mc:AlternateContent>
        <mc:AlternateContent xmlns:mc="http://schemas.openxmlformats.org/markup-compatibility/2006">
          <mc:Choice Requires="x14">
            <control shapeId="9240" r:id="rId27" name="Check Box 24">
              <controlPr defaultSize="0" autoFill="0" autoLine="0" autoPict="0">
                <anchor moveWithCells="1">
                  <from>
                    <xdr:col>6</xdr:col>
                    <xdr:colOff>0</xdr:colOff>
                    <xdr:row>29</xdr:row>
                    <xdr:rowOff>0</xdr:rowOff>
                  </from>
                  <to>
                    <xdr:col>7</xdr:col>
                    <xdr:colOff>0</xdr:colOff>
                    <xdr:row>30</xdr:row>
                    <xdr:rowOff>0</xdr:rowOff>
                  </to>
                </anchor>
              </controlPr>
            </control>
          </mc:Choice>
        </mc:AlternateContent>
        <mc:AlternateContent xmlns:mc="http://schemas.openxmlformats.org/markup-compatibility/2006">
          <mc:Choice Requires="x14">
            <control shapeId="9241" r:id="rId28" name="Check Box 25">
              <controlPr defaultSize="0" autoFill="0" autoLine="0" autoPict="0">
                <anchor moveWithCells="1">
                  <from>
                    <xdr:col>4</xdr:col>
                    <xdr:colOff>0</xdr:colOff>
                    <xdr:row>30</xdr:row>
                    <xdr:rowOff>0</xdr:rowOff>
                  </from>
                  <to>
                    <xdr:col>5</xdr:col>
                    <xdr:colOff>0</xdr:colOff>
                    <xdr:row>31</xdr:row>
                    <xdr:rowOff>0</xdr:rowOff>
                  </to>
                </anchor>
              </controlPr>
            </control>
          </mc:Choice>
        </mc:AlternateContent>
        <mc:AlternateContent xmlns:mc="http://schemas.openxmlformats.org/markup-compatibility/2006">
          <mc:Choice Requires="x14">
            <control shapeId="9242" r:id="rId29" name="Check Box 26">
              <controlPr defaultSize="0" autoFill="0" autoLine="0" autoPict="0">
                <anchor moveWithCells="1">
                  <from>
                    <xdr:col>5</xdr:col>
                    <xdr:colOff>0</xdr:colOff>
                    <xdr:row>30</xdr:row>
                    <xdr:rowOff>0</xdr:rowOff>
                  </from>
                  <to>
                    <xdr:col>6</xdr:col>
                    <xdr:colOff>0</xdr:colOff>
                    <xdr:row>31</xdr:row>
                    <xdr:rowOff>0</xdr:rowOff>
                  </to>
                </anchor>
              </controlPr>
            </control>
          </mc:Choice>
        </mc:AlternateContent>
        <mc:AlternateContent xmlns:mc="http://schemas.openxmlformats.org/markup-compatibility/2006">
          <mc:Choice Requires="x14">
            <control shapeId="9243" r:id="rId30" name="Check Box 27">
              <controlPr defaultSize="0" autoFill="0" autoLine="0" autoPict="0">
                <anchor moveWithCells="1">
                  <from>
                    <xdr:col>6</xdr:col>
                    <xdr:colOff>0</xdr:colOff>
                    <xdr:row>30</xdr:row>
                    <xdr:rowOff>0</xdr:rowOff>
                  </from>
                  <to>
                    <xdr:col>7</xdr:col>
                    <xdr:colOff>0</xdr:colOff>
                    <xdr:row>31</xdr:row>
                    <xdr:rowOff>0</xdr:rowOff>
                  </to>
                </anchor>
              </controlPr>
            </control>
          </mc:Choice>
        </mc:AlternateContent>
        <mc:AlternateContent xmlns:mc="http://schemas.openxmlformats.org/markup-compatibility/2006">
          <mc:Choice Requires="x14">
            <control shapeId="9244" r:id="rId31" name="Check Box 28">
              <controlPr defaultSize="0" autoFill="0" autoLine="0" autoPict="0">
                <anchor moveWithCells="1">
                  <from>
                    <xdr:col>4</xdr:col>
                    <xdr:colOff>0</xdr:colOff>
                    <xdr:row>31</xdr:row>
                    <xdr:rowOff>0</xdr:rowOff>
                  </from>
                  <to>
                    <xdr:col>5</xdr:col>
                    <xdr:colOff>0</xdr:colOff>
                    <xdr:row>32</xdr:row>
                    <xdr:rowOff>0</xdr:rowOff>
                  </to>
                </anchor>
              </controlPr>
            </control>
          </mc:Choice>
        </mc:AlternateContent>
        <mc:AlternateContent xmlns:mc="http://schemas.openxmlformats.org/markup-compatibility/2006">
          <mc:Choice Requires="x14">
            <control shapeId="9245" r:id="rId32" name="Check Box 29">
              <controlPr defaultSize="0" autoFill="0" autoLine="0" autoPict="0">
                <anchor moveWithCells="1">
                  <from>
                    <xdr:col>5</xdr:col>
                    <xdr:colOff>0</xdr:colOff>
                    <xdr:row>31</xdr:row>
                    <xdr:rowOff>0</xdr:rowOff>
                  </from>
                  <to>
                    <xdr:col>6</xdr:col>
                    <xdr:colOff>0</xdr:colOff>
                    <xdr:row>32</xdr:row>
                    <xdr:rowOff>0</xdr:rowOff>
                  </to>
                </anchor>
              </controlPr>
            </control>
          </mc:Choice>
        </mc:AlternateContent>
        <mc:AlternateContent xmlns:mc="http://schemas.openxmlformats.org/markup-compatibility/2006">
          <mc:Choice Requires="x14">
            <control shapeId="9246" r:id="rId33" name="Check Box 30">
              <controlPr defaultSize="0" autoFill="0" autoLine="0" autoPict="0">
                <anchor moveWithCells="1">
                  <from>
                    <xdr:col>6</xdr:col>
                    <xdr:colOff>0</xdr:colOff>
                    <xdr:row>31</xdr:row>
                    <xdr:rowOff>0</xdr:rowOff>
                  </from>
                  <to>
                    <xdr:col>7</xdr:col>
                    <xdr:colOff>0</xdr:colOff>
                    <xdr:row>32</xdr:row>
                    <xdr:rowOff>0</xdr:rowOff>
                  </to>
                </anchor>
              </controlPr>
            </control>
          </mc:Choice>
        </mc:AlternateContent>
        <mc:AlternateContent xmlns:mc="http://schemas.openxmlformats.org/markup-compatibility/2006">
          <mc:Choice Requires="x14">
            <control shapeId="9247" r:id="rId34" name="Check Box 31">
              <controlPr defaultSize="0" autoFill="0" autoLine="0" autoPict="0">
                <anchor moveWithCells="1">
                  <from>
                    <xdr:col>4</xdr:col>
                    <xdr:colOff>0</xdr:colOff>
                    <xdr:row>32</xdr:row>
                    <xdr:rowOff>0</xdr:rowOff>
                  </from>
                  <to>
                    <xdr:col>5</xdr:col>
                    <xdr:colOff>0</xdr:colOff>
                    <xdr:row>33</xdr:row>
                    <xdr:rowOff>0</xdr:rowOff>
                  </to>
                </anchor>
              </controlPr>
            </control>
          </mc:Choice>
        </mc:AlternateContent>
        <mc:AlternateContent xmlns:mc="http://schemas.openxmlformats.org/markup-compatibility/2006">
          <mc:Choice Requires="x14">
            <control shapeId="9248" r:id="rId35" name="Check Box 32">
              <controlPr defaultSize="0" autoFill="0" autoLine="0" autoPict="0">
                <anchor moveWithCells="1">
                  <from>
                    <xdr:col>5</xdr:col>
                    <xdr:colOff>0</xdr:colOff>
                    <xdr:row>32</xdr:row>
                    <xdr:rowOff>0</xdr:rowOff>
                  </from>
                  <to>
                    <xdr:col>6</xdr:col>
                    <xdr:colOff>0</xdr:colOff>
                    <xdr:row>33</xdr:row>
                    <xdr:rowOff>0</xdr:rowOff>
                  </to>
                </anchor>
              </controlPr>
            </control>
          </mc:Choice>
        </mc:AlternateContent>
        <mc:AlternateContent xmlns:mc="http://schemas.openxmlformats.org/markup-compatibility/2006">
          <mc:Choice Requires="x14">
            <control shapeId="9249" r:id="rId36" name="Check Box 33">
              <controlPr defaultSize="0" autoFill="0" autoLine="0" autoPict="0">
                <anchor moveWithCells="1">
                  <from>
                    <xdr:col>6</xdr:col>
                    <xdr:colOff>0</xdr:colOff>
                    <xdr:row>32</xdr:row>
                    <xdr:rowOff>0</xdr:rowOff>
                  </from>
                  <to>
                    <xdr:col>7</xdr:col>
                    <xdr:colOff>0</xdr:colOff>
                    <xdr:row>33</xdr:row>
                    <xdr:rowOff>0</xdr:rowOff>
                  </to>
                </anchor>
              </controlPr>
            </control>
          </mc:Choice>
        </mc:AlternateContent>
        <mc:AlternateContent xmlns:mc="http://schemas.openxmlformats.org/markup-compatibility/2006">
          <mc:Choice Requires="x14">
            <control shapeId="9250" r:id="rId37" name="Check Box 34">
              <controlPr defaultSize="0" autoFill="0" autoLine="0" autoPict="0">
                <anchor moveWithCells="1">
                  <from>
                    <xdr:col>4</xdr:col>
                    <xdr:colOff>0</xdr:colOff>
                    <xdr:row>33</xdr:row>
                    <xdr:rowOff>0</xdr:rowOff>
                  </from>
                  <to>
                    <xdr:col>5</xdr:col>
                    <xdr:colOff>0</xdr:colOff>
                    <xdr:row>34</xdr:row>
                    <xdr:rowOff>0</xdr:rowOff>
                  </to>
                </anchor>
              </controlPr>
            </control>
          </mc:Choice>
        </mc:AlternateContent>
        <mc:AlternateContent xmlns:mc="http://schemas.openxmlformats.org/markup-compatibility/2006">
          <mc:Choice Requires="x14">
            <control shapeId="9251" r:id="rId38" name="Check Box 35">
              <controlPr defaultSize="0" autoFill="0" autoLine="0" autoPict="0">
                <anchor moveWithCells="1">
                  <from>
                    <xdr:col>6</xdr:col>
                    <xdr:colOff>0</xdr:colOff>
                    <xdr:row>33</xdr:row>
                    <xdr:rowOff>0</xdr:rowOff>
                  </from>
                  <to>
                    <xdr:col>7</xdr:col>
                    <xdr:colOff>0</xdr:colOff>
                    <xdr:row>34</xdr:row>
                    <xdr:rowOff>0</xdr:rowOff>
                  </to>
                </anchor>
              </controlPr>
            </control>
          </mc:Choice>
        </mc:AlternateContent>
        <mc:AlternateContent xmlns:mc="http://schemas.openxmlformats.org/markup-compatibility/2006">
          <mc:Choice Requires="x14">
            <control shapeId="9252" r:id="rId39" name="Check Box 36">
              <controlPr defaultSize="0" autoFill="0" autoLine="0" autoPict="0">
                <anchor moveWithCells="1">
                  <from>
                    <xdr:col>5</xdr:col>
                    <xdr:colOff>0</xdr:colOff>
                    <xdr:row>33</xdr:row>
                    <xdr:rowOff>0</xdr:rowOff>
                  </from>
                  <to>
                    <xdr:col>6</xdr:col>
                    <xdr:colOff>0</xdr:colOff>
                    <xdr:row>34</xdr:row>
                    <xdr:rowOff>0</xdr:rowOff>
                  </to>
                </anchor>
              </controlPr>
            </control>
          </mc:Choice>
        </mc:AlternateContent>
        <mc:AlternateContent xmlns:mc="http://schemas.openxmlformats.org/markup-compatibility/2006">
          <mc:Choice Requires="x14">
            <control shapeId="9253" r:id="rId40" name="Check Box 37">
              <controlPr defaultSize="0" autoFill="0" autoLine="0" autoPict="0">
                <anchor moveWithCells="1">
                  <from>
                    <xdr:col>4</xdr:col>
                    <xdr:colOff>0</xdr:colOff>
                    <xdr:row>34</xdr:row>
                    <xdr:rowOff>0</xdr:rowOff>
                  </from>
                  <to>
                    <xdr:col>5</xdr:col>
                    <xdr:colOff>0</xdr:colOff>
                    <xdr:row>35</xdr:row>
                    <xdr:rowOff>0</xdr:rowOff>
                  </to>
                </anchor>
              </controlPr>
            </control>
          </mc:Choice>
        </mc:AlternateContent>
        <mc:AlternateContent xmlns:mc="http://schemas.openxmlformats.org/markup-compatibility/2006">
          <mc:Choice Requires="x14">
            <control shapeId="9254" r:id="rId41" name="Check Box 38">
              <controlPr defaultSize="0" autoFill="0" autoLine="0" autoPict="0">
                <anchor moveWithCells="1">
                  <from>
                    <xdr:col>5</xdr:col>
                    <xdr:colOff>0</xdr:colOff>
                    <xdr:row>34</xdr:row>
                    <xdr:rowOff>0</xdr:rowOff>
                  </from>
                  <to>
                    <xdr:col>6</xdr:col>
                    <xdr:colOff>0</xdr:colOff>
                    <xdr:row>35</xdr:row>
                    <xdr:rowOff>0</xdr:rowOff>
                  </to>
                </anchor>
              </controlPr>
            </control>
          </mc:Choice>
        </mc:AlternateContent>
        <mc:AlternateContent xmlns:mc="http://schemas.openxmlformats.org/markup-compatibility/2006">
          <mc:Choice Requires="x14">
            <control shapeId="9255" r:id="rId42" name="Check Box 39">
              <controlPr defaultSize="0" autoFill="0" autoLine="0" autoPict="0">
                <anchor moveWithCells="1">
                  <from>
                    <xdr:col>6</xdr:col>
                    <xdr:colOff>0</xdr:colOff>
                    <xdr:row>34</xdr:row>
                    <xdr:rowOff>0</xdr:rowOff>
                  </from>
                  <to>
                    <xdr:col>7</xdr:col>
                    <xdr:colOff>0</xdr:colOff>
                    <xdr:row>35</xdr:row>
                    <xdr:rowOff>0</xdr:rowOff>
                  </to>
                </anchor>
              </controlPr>
            </control>
          </mc:Choice>
        </mc:AlternateContent>
        <mc:AlternateContent xmlns:mc="http://schemas.openxmlformats.org/markup-compatibility/2006">
          <mc:Choice Requires="x14">
            <control shapeId="9256" r:id="rId43" name="Check Box 40">
              <controlPr defaultSize="0" autoFill="0" autoLine="0" autoPict="0">
                <anchor moveWithCells="1">
                  <from>
                    <xdr:col>4</xdr:col>
                    <xdr:colOff>0</xdr:colOff>
                    <xdr:row>35</xdr:row>
                    <xdr:rowOff>0</xdr:rowOff>
                  </from>
                  <to>
                    <xdr:col>5</xdr:col>
                    <xdr:colOff>0</xdr:colOff>
                    <xdr:row>36</xdr:row>
                    <xdr:rowOff>0</xdr:rowOff>
                  </to>
                </anchor>
              </controlPr>
            </control>
          </mc:Choice>
        </mc:AlternateContent>
        <mc:AlternateContent xmlns:mc="http://schemas.openxmlformats.org/markup-compatibility/2006">
          <mc:Choice Requires="x14">
            <control shapeId="9257" r:id="rId44" name="Check Box 41">
              <controlPr defaultSize="0" autoFill="0" autoLine="0" autoPict="0">
                <anchor moveWithCells="1">
                  <from>
                    <xdr:col>5</xdr:col>
                    <xdr:colOff>0</xdr:colOff>
                    <xdr:row>35</xdr:row>
                    <xdr:rowOff>0</xdr:rowOff>
                  </from>
                  <to>
                    <xdr:col>6</xdr:col>
                    <xdr:colOff>0</xdr:colOff>
                    <xdr:row>36</xdr:row>
                    <xdr:rowOff>0</xdr:rowOff>
                  </to>
                </anchor>
              </controlPr>
            </control>
          </mc:Choice>
        </mc:AlternateContent>
        <mc:AlternateContent xmlns:mc="http://schemas.openxmlformats.org/markup-compatibility/2006">
          <mc:Choice Requires="x14">
            <control shapeId="9258" r:id="rId45" name="Check Box 42">
              <controlPr defaultSize="0" autoFill="0" autoLine="0" autoPict="0">
                <anchor moveWithCells="1">
                  <from>
                    <xdr:col>6</xdr:col>
                    <xdr:colOff>0</xdr:colOff>
                    <xdr:row>35</xdr:row>
                    <xdr:rowOff>0</xdr:rowOff>
                  </from>
                  <to>
                    <xdr:col>7</xdr:col>
                    <xdr:colOff>0</xdr:colOff>
                    <xdr:row>36</xdr:row>
                    <xdr:rowOff>0</xdr:rowOff>
                  </to>
                </anchor>
              </controlPr>
            </control>
          </mc:Choice>
        </mc:AlternateContent>
        <mc:AlternateContent xmlns:mc="http://schemas.openxmlformats.org/markup-compatibility/2006">
          <mc:Choice Requires="x14">
            <control shapeId="9259" r:id="rId46" name="Check Box 43">
              <controlPr defaultSize="0" autoFill="0" autoLine="0" autoPict="0">
                <anchor moveWithCells="1">
                  <from>
                    <xdr:col>4</xdr:col>
                    <xdr:colOff>0</xdr:colOff>
                    <xdr:row>35</xdr:row>
                    <xdr:rowOff>228600</xdr:rowOff>
                  </from>
                  <to>
                    <xdr:col>5</xdr:col>
                    <xdr:colOff>0</xdr:colOff>
                    <xdr:row>37</xdr:row>
                    <xdr:rowOff>0</xdr:rowOff>
                  </to>
                </anchor>
              </controlPr>
            </control>
          </mc:Choice>
        </mc:AlternateContent>
        <mc:AlternateContent xmlns:mc="http://schemas.openxmlformats.org/markup-compatibility/2006">
          <mc:Choice Requires="x14">
            <control shapeId="9260" r:id="rId47" name="Check Box 44">
              <controlPr defaultSize="0" autoFill="0" autoLine="0" autoPict="0">
                <anchor moveWithCells="1">
                  <from>
                    <xdr:col>5</xdr:col>
                    <xdr:colOff>0</xdr:colOff>
                    <xdr:row>35</xdr:row>
                    <xdr:rowOff>228600</xdr:rowOff>
                  </from>
                  <to>
                    <xdr:col>6</xdr:col>
                    <xdr:colOff>0</xdr:colOff>
                    <xdr:row>37</xdr:row>
                    <xdr:rowOff>0</xdr:rowOff>
                  </to>
                </anchor>
              </controlPr>
            </control>
          </mc:Choice>
        </mc:AlternateContent>
        <mc:AlternateContent xmlns:mc="http://schemas.openxmlformats.org/markup-compatibility/2006">
          <mc:Choice Requires="x14">
            <control shapeId="9261" r:id="rId48" name="Check Box 45">
              <controlPr defaultSize="0" autoFill="0" autoLine="0" autoPict="0">
                <anchor moveWithCells="1">
                  <from>
                    <xdr:col>6</xdr:col>
                    <xdr:colOff>0</xdr:colOff>
                    <xdr:row>35</xdr:row>
                    <xdr:rowOff>228600</xdr:rowOff>
                  </from>
                  <to>
                    <xdr:col>7</xdr:col>
                    <xdr:colOff>0</xdr:colOff>
                    <xdr:row>37</xdr:row>
                    <xdr:rowOff>0</xdr:rowOff>
                  </to>
                </anchor>
              </controlPr>
            </control>
          </mc:Choice>
        </mc:AlternateContent>
        <mc:AlternateContent xmlns:mc="http://schemas.openxmlformats.org/markup-compatibility/2006">
          <mc:Choice Requires="x14">
            <control shapeId="9262" r:id="rId49" name="Check Box 46">
              <controlPr defaultSize="0" autoFill="0" autoLine="0" autoPict="0">
                <anchor moveWithCells="1">
                  <from>
                    <xdr:col>4</xdr:col>
                    <xdr:colOff>0</xdr:colOff>
                    <xdr:row>37</xdr:row>
                    <xdr:rowOff>0</xdr:rowOff>
                  </from>
                  <to>
                    <xdr:col>5</xdr:col>
                    <xdr:colOff>0</xdr:colOff>
                    <xdr:row>38</xdr:row>
                    <xdr:rowOff>0</xdr:rowOff>
                  </to>
                </anchor>
              </controlPr>
            </control>
          </mc:Choice>
        </mc:AlternateContent>
        <mc:AlternateContent xmlns:mc="http://schemas.openxmlformats.org/markup-compatibility/2006">
          <mc:Choice Requires="x14">
            <control shapeId="9263" r:id="rId50" name="Check Box 47">
              <controlPr defaultSize="0" autoFill="0" autoLine="0" autoPict="0">
                <anchor moveWithCells="1">
                  <from>
                    <xdr:col>5</xdr:col>
                    <xdr:colOff>0</xdr:colOff>
                    <xdr:row>37</xdr:row>
                    <xdr:rowOff>0</xdr:rowOff>
                  </from>
                  <to>
                    <xdr:col>6</xdr:col>
                    <xdr:colOff>0</xdr:colOff>
                    <xdr:row>38</xdr:row>
                    <xdr:rowOff>0</xdr:rowOff>
                  </to>
                </anchor>
              </controlPr>
            </control>
          </mc:Choice>
        </mc:AlternateContent>
        <mc:AlternateContent xmlns:mc="http://schemas.openxmlformats.org/markup-compatibility/2006">
          <mc:Choice Requires="x14">
            <control shapeId="9264" r:id="rId51" name="Check Box 48">
              <controlPr defaultSize="0" autoFill="0" autoLine="0" autoPict="0">
                <anchor moveWithCells="1">
                  <from>
                    <xdr:col>6</xdr:col>
                    <xdr:colOff>0</xdr:colOff>
                    <xdr:row>37</xdr:row>
                    <xdr:rowOff>0</xdr:rowOff>
                  </from>
                  <to>
                    <xdr:col>7</xdr:col>
                    <xdr:colOff>0</xdr:colOff>
                    <xdr:row>38</xdr:row>
                    <xdr:rowOff>0</xdr:rowOff>
                  </to>
                </anchor>
              </controlPr>
            </control>
          </mc:Choice>
        </mc:AlternateContent>
        <mc:AlternateContent xmlns:mc="http://schemas.openxmlformats.org/markup-compatibility/2006">
          <mc:Choice Requires="x14">
            <control shapeId="9265" r:id="rId52" name="Check Box 49">
              <controlPr defaultSize="0" autoFill="0" autoLine="0" autoPict="0">
                <anchor moveWithCells="1">
                  <from>
                    <xdr:col>4</xdr:col>
                    <xdr:colOff>685800</xdr:colOff>
                    <xdr:row>38</xdr:row>
                    <xdr:rowOff>0</xdr:rowOff>
                  </from>
                  <to>
                    <xdr:col>6</xdr:col>
                    <xdr:colOff>0</xdr:colOff>
                    <xdr:row>39</xdr:row>
                    <xdr:rowOff>0</xdr:rowOff>
                  </to>
                </anchor>
              </controlPr>
            </control>
          </mc:Choice>
        </mc:AlternateContent>
        <mc:AlternateContent xmlns:mc="http://schemas.openxmlformats.org/markup-compatibility/2006">
          <mc:Choice Requires="x14">
            <control shapeId="9266" r:id="rId53" name="Check Box 50">
              <controlPr defaultSize="0" autoFill="0" autoLine="0" autoPict="0">
                <anchor moveWithCells="1">
                  <from>
                    <xdr:col>4</xdr:col>
                    <xdr:colOff>0</xdr:colOff>
                    <xdr:row>38</xdr:row>
                    <xdr:rowOff>0</xdr:rowOff>
                  </from>
                  <to>
                    <xdr:col>5</xdr:col>
                    <xdr:colOff>0</xdr:colOff>
                    <xdr:row>39</xdr:row>
                    <xdr:rowOff>0</xdr:rowOff>
                  </to>
                </anchor>
              </controlPr>
            </control>
          </mc:Choice>
        </mc:AlternateContent>
        <mc:AlternateContent xmlns:mc="http://schemas.openxmlformats.org/markup-compatibility/2006">
          <mc:Choice Requires="x14">
            <control shapeId="9267" r:id="rId54" name="Check Box 51">
              <controlPr defaultSize="0" autoFill="0" autoLine="0" autoPict="0">
                <anchor moveWithCells="1">
                  <from>
                    <xdr:col>6</xdr:col>
                    <xdr:colOff>0</xdr:colOff>
                    <xdr:row>38</xdr:row>
                    <xdr:rowOff>0</xdr:rowOff>
                  </from>
                  <to>
                    <xdr:col>7</xdr:col>
                    <xdr:colOff>0</xdr:colOff>
                    <xdr:row>39</xdr:row>
                    <xdr:rowOff>0</xdr:rowOff>
                  </to>
                </anchor>
              </controlPr>
            </control>
          </mc:Choice>
        </mc:AlternateContent>
        <mc:AlternateContent xmlns:mc="http://schemas.openxmlformats.org/markup-compatibility/2006">
          <mc:Choice Requires="x14">
            <control shapeId="9268" r:id="rId55" name="Check Box 52">
              <controlPr defaultSize="0" autoFill="0" autoLine="0" autoPict="0">
                <anchor moveWithCells="1">
                  <from>
                    <xdr:col>4</xdr:col>
                    <xdr:colOff>0</xdr:colOff>
                    <xdr:row>41</xdr:row>
                    <xdr:rowOff>0</xdr:rowOff>
                  </from>
                  <to>
                    <xdr:col>5</xdr:col>
                    <xdr:colOff>0</xdr:colOff>
                    <xdr:row>42</xdr:row>
                    <xdr:rowOff>0</xdr:rowOff>
                  </to>
                </anchor>
              </controlPr>
            </control>
          </mc:Choice>
        </mc:AlternateContent>
        <mc:AlternateContent xmlns:mc="http://schemas.openxmlformats.org/markup-compatibility/2006">
          <mc:Choice Requires="x14">
            <control shapeId="9269" r:id="rId56" name="Check Box 53">
              <controlPr defaultSize="0" autoFill="0" autoLine="0" autoPict="0">
                <anchor moveWithCells="1">
                  <from>
                    <xdr:col>5</xdr:col>
                    <xdr:colOff>0</xdr:colOff>
                    <xdr:row>41</xdr:row>
                    <xdr:rowOff>0</xdr:rowOff>
                  </from>
                  <to>
                    <xdr:col>6</xdr:col>
                    <xdr:colOff>0</xdr:colOff>
                    <xdr:row>42</xdr:row>
                    <xdr:rowOff>0</xdr:rowOff>
                  </to>
                </anchor>
              </controlPr>
            </control>
          </mc:Choice>
        </mc:AlternateContent>
        <mc:AlternateContent xmlns:mc="http://schemas.openxmlformats.org/markup-compatibility/2006">
          <mc:Choice Requires="x14">
            <control shapeId="9270" r:id="rId57" name="Check Box 54">
              <controlPr defaultSize="0" autoFill="0" autoLine="0" autoPict="0">
                <anchor moveWithCells="1">
                  <from>
                    <xdr:col>6</xdr:col>
                    <xdr:colOff>0</xdr:colOff>
                    <xdr:row>41</xdr:row>
                    <xdr:rowOff>0</xdr:rowOff>
                  </from>
                  <to>
                    <xdr:col>7</xdr:col>
                    <xdr:colOff>0</xdr:colOff>
                    <xdr:row>42</xdr:row>
                    <xdr:rowOff>0</xdr:rowOff>
                  </to>
                </anchor>
              </controlPr>
            </control>
          </mc:Choice>
        </mc:AlternateContent>
        <mc:AlternateContent xmlns:mc="http://schemas.openxmlformats.org/markup-compatibility/2006">
          <mc:Choice Requires="x14">
            <control shapeId="9271" r:id="rId58" name="Check Box 55">
              <controlPr defaultSize="0" autoFill="0" autoLine="0" autoPict="0">
                <anchor moveWithCells="1">
                  <from>
                    <xdr:col>4</xdr:col>
                    <xdr:colOff>0</xdr:colOff>
                    <xdr:row>41</xdr:row>
                    <xdr:rowOff>228600</xdr:rowOff>
                  </from>
                  <to>
                    <xdr:col>5</xdr:col>
                    <xdr:colOff>0</xdr:colOff>
                    <xdr:row>43</xdr:row>
                    <xdr:rowOff>0</xdr:rowOff>
                  </to>
                </anchor>
              </controlPr>
            </control>
          </mc:Choice>
        </mc:AlternateContent>
        <mc:AlternateContent xmlns:mc="http://schemas.openxmlformats.org/markup-compatibility/2006">
          <mc:Choice Requires="x14">
            <control shapeId="9272" r:id="rId59" name="Check Box 56">
              <controlPr defaultSize="0" autoFill="0" autoLine="0" autoPict="0">
                <anchor moveWithCells="1">
                  <from>
                    <xdr:col>5</xdr:col>
                    <xdr:colOff>0</xdr:colOff>
                    <xdr:row>41</xdr:row>
                    <xdr:rowOff>228600</xdr:rowOff>
                  </from>
                  <to>
                    <xdr:col>6</xdr:col>
                    <xdr:colOff>0</xdr:colOff>
                    <xdr:row>43</xdr:row>
                    <xdr:rowOff>0</xdr:rowOff>
                  </to>
                </anchor>
              </controlPr>
            </control>
          </mc:Choice>
        </mc:AlternateContent>
        <mc:AlternateContent xmlns:mc="http://schemas.openxmlformats.org/markup-compatibility/2006">
          <mc:Choice Requires="x14">
            <control shapeId="9273" r:id="rId60" name="Check Box 57">
              <controlPr defaultSize="0" autoFill="0" autoLine="0" autoPict="0">
                <anchor moveWithCells="1">
                  <from>
                    <xdr:col>6</xdr:col>
                    <xdr:colOff>0</xdr:colOff>
                    <xdr:row>41</xdr:row>
                    <xdr:rowOff>228600</xdr:rowOff>
                  </from>
                  <to>
                    <xdr:col>7</xdr:col>
                    <xdr:colOff>0</xdr:colOff>
                    <xdr:row>43</xdr:row>
                    <xdr:rowOff>0</xdr:rowOff>
                  </to>
                </anchor>
              </controlPr>
            </control>
          </mc:Choice>
        </mc:AlternateContent>
        <mc:AlternateContent xmlns:mc="http://schemas.openxmlformats.org/markup-compatibility/2006">
          <mc:Choice Requires="x14">
            <control shapeId="9274" r:id="rId61" name="Check Box 58">
              <controlPr defaultSize="0" autoFill="0" autoLine="0" autoPict="0">
                <anchor moveWithCells="1">
                  <from>
                    <xdr:col>4</xdr:col>
                    <xdr:colOff>0</xdr:colOff>
                    <xdr:row>43</xdr:row>
                    <xdr:rowOff>0</xdr:rowOff>
                  </from>
                  <to>
                    <xdr:col>5</xdr:col>
                    <xdr:colOff>0</xdr:colOff>
                    <xdr:row>44</xdr:row>
                    <xdr:rowOff>0</xdr:rowOff>
                  </to>
                </anchor>
              </controlPr>
            </control>
          </mc:Choice>
        </mc:AlternateContent>
        <mc:AlternateContent xmlns:mc="http://schemas.openxmlformats.org/markup-compatibility/2006">
          <mc:Choice Requires="x14">
            <control shapeId="9275" r:id="rId62" name="Check Box 59">
              <controlPr defaultSize="0" autoFill="0" autoLine="0" autoPict="0">
                <anchor moveWithCells="1">
                  <from>
                    <xdr:col>5</xdr:col>
                    <xdr:colOff>0</xdr:colOff>
                    <xdr:row>43</xdr:row>
                    <xdr:rowOff>0</xdr:rowOff>
                  </from>
                  <to>
                    <xdr:col>6</xdr:col>
                    <xdr:colOff>0</xdr:colOff>
                    <xdr:row>44</xdr:row>
                    <xdr:rowOff>0</xdr:rowOff>
                  </to>
                </anchor>
              </controlPr>
            </control>
          </mc:Choice>
        </mc:AlternateContent>
        <mc:AlternateContent xmlns:mc="http://schemas.openxmlformats.org/markup-compatibility/2006">
          <mc:Choice Requires="x14">
            <control shapeId="9276" r:id="rId63" name="Check Box 60">
              <controlPr defaultSize="0" autoFill="0" autoLine="0" autoPict="0">
                <anchor moveWithCells="1">
                  <from>
                    <xdr:col>6</xdr:col>
                    <xdr:colOff>0</xdr:colOff>
                    <xdr:row>43</xdr:row>
                    <xdr:rowOff>0</xdr:rowOff>
                  </from>
                  <to>
                    <xdr:col>7</xdr:col>
                    <xdr:colOff>0</xdr:colOff>
                    <xdr:row>44</xdr:row>
                    <xdr:rowOff>0</xdr:rowOff>
                  </to>
                </anchor>
              </controlPr>
            </control>
          </mc:Choice>
        </mc:AlternateContent>
        <mc:AlternateContent xmlns:mc="http://schemas.openxmlformats.org/markup-compatibility/2006">
          <mc:Choice Requires="x14">
            <control shapeId="9277" r:id="rId64" name="Check Box 61">
              <controlPr defaultSize="0" autoFill="0" autoLine="0" autoPict="0">
                <anchor moveWithCells="1">
                  <from>
                    <xdr:col>4</xdr:col>
                    <xdr:colOff>685800</xdr:colOff>
                    <xdr:row>46</xdr:row>
                    <xdr:rowOff>0</xdr:rowOff>
                  </from>
                  <to>
                    <xdr:col>6</xdr:col>
                    <xdr:colOff>0</xdr:colOff>
                    <xdr:row>47</xdr:row>
                    <xdr:rowOff>0</xdr:rowOff>
                  </to>
                </anchor>
              </controlPr>
            </control>
          </mc:Choice>
        </mc:AlternateContent>
        <mc:AlternateContent xmlns:mc="http://schemas.openxmlformats.org/markup-compatibility/2006">
          <mc:Choice Requires="x14">
            <control shapeId="9278" r:id="rId65" name="Check Box 62">
              <controlPr defaultSize="0" autoFill="0" autoLine="0" autoPict="0">
                <anchor moveWithCells="1">
                  <from>
                    <xdr:col>4</xdr:col>
                    <xdr:colOff>0</xdr:colOff>
                    <xdr:row>46</xdr:row>
                    <xdr:rowOff>0</xdr:rowOff>
                  </from>
                  <to>
                    <xdr:col>5</xdr:col>
                    <xdr:colOff>0</xdr:colOff>
                    <xdr:row>47</xdr:row>
                    <xdr:rowOff>0</xdr:rowOff>
                  </to>
                </anchor>
              </controlPr>
            </control>
          </mc:Choice>
        </mc:AlternateContent>
        <mc:AlternateContent xmlns:mc="http://schemas.openxmlformats.org/markup-compatibility/2006">
          <mc:Choice Requires="x14">
            <control shapeId="9279" r:id="rId66" name="Check Box 63">
              <controlPr defaultSize="0" autoFill="0" autoLine="0" autoPict="0">
                <anchor moveWithCells="1">
                  <from>
                    <xdr:col>6</xdr:col>
                    <xdr:colOff>0</xdr:colOff>
                    <xdr:row>46</xdr:row>
                    <xdr:rowOff>0</xdr:rowOff>
                  </from>
                  <to>
                    <xdr:col>7</xdr:col>
                    <xdr:colOff>0</xdr:colOff>
                    <xdr:row>47</xdr:row>
                    <xdr:rowOff>0</xdr:rowOff>
                  </to>
                </anchor>
              </controlPr>
            </control>
          </mc:Choice>
        </mc:AlternateContent>
        <mc:AlternateContent xmlns:mc="http://schemas.openxmlformats.org/markup-compatibility/2006">
          <mc:Choice Requires="x14">
            <control shapeId="9280" r:id="rId67" name="Check Box 64">
              <controlPr defaultSize="0" autoFill="0" autoLine="0" autoPict="0">
                <anchor moveWithCells="1">
                  <from>
                    <xdr:col>4</xdr:col>
                    <xdr:colOff>0</xdr:colOff>
                    <xdr:row>47</xdr:row>
                    <xdr:rowOff>0</xdr:rowOff>
                  </from>
                  <to>
                    <xdr:col>5</xdr:col>
                    <xdr:colOff>0</xdr:colOff>
                    <xdr:row>48</xdr:row>
                    <xdr:rowOff>0</xdr:rowOff>
                  </to>
                </anchor>
              </controlPr>
            </control>
          </mc:Choice>
        </mc:AlternateContent>
        <mc:AlternateContent xmlns:mc="http://schemas.openxmlformats.org/markup-compatibility/2006">
          <mc:Choice Requires="x14">
            <control shapeId="9281" r:id="rId68" name="Check Box 65">
              <controlPr defaultSize="0" autoFill="0" autoLine="0" autoPict="0">
                <anchor moveWithCells="1">
                  <from>
                    <xdr:col>5</xdr:col>
                    <xdr:colOff>0</xdr:colOff>
                    <xdr:row>47</xdr:row>
                    <xdr:rowOff>0</xdr:rowOff>
                  </from>
                  <to>
                    <xdr:col>6</xdr:col>
                    <xdr:colOff>0</xdr:colOff>
                    <xdr:row>48</xdr:row>
                    <xdr:rowOff>0</xdr:rowOff>
                  </to>
                </anchor>
              </controlPr>
            </control>
          </mc:Choice>
        </mc:AlternateContent>
        <mc:AlternateContent xmlns:mc="http://schemas.openxmlformats.org/markup-compatibility/2006">
          <mc:Choice Requires="x14">
            <control shapeId="9282" r:id="rId69" name="Check Box 66">
              <controlPr defaultSize="0" autoFill="0" autoLine="0" autoPict="0">
                <anchor moveWithCells="1">
                  <from>
                    <xdr:col>6</xdr:col>
                    <xdr:colOff>0</xdr:colOff>
                    <xdr:row>47</xdr:row>
                    <xdr:rowOff>0</xdr:rowOff>
                  </from>
                  <to>
                    <xdr:col>7</xdr:col>
                    <xdr:colOff>0</xdr:colOff>
                    <xdr:row>48</xdr:row>
                    <xdr:rowOff>0</xdr:rowOff>
                  </to>
                </anchor>
              </controlPr>
            </control>
          </mc:Choice>
        </mc:AlternateContent>
        <mc:AlternateContent xmlns:mc="http://schemas.openxmlformats.org/markup-compatibility/2006">
          <mc:Choice Requires="x14">
            <control shapeId="9283" r:id="rId70" name="Check Box 67">
              <controlPr defaultSize="0" autoFill="0" autoLine="0" autoPict="0">
                <anchor moveWithCells="1">
                  <from>
                    <xdr:col>4</xdr:col>
                    <xdr:colOff>0</xdr:colOff>
                    <xdr:row>50</xdr:row>
                    <xdr:rowOff>0</xdr:rowOff>
                  </from>
                  <to>
                    <xdr:col>5</xdr:col>
                    <xdr:colOff>0</xdr:colOff>
                    <xdr:row>51</xdr:row>
                    <xdr:rowOff>0</xdr:rowOff>
                  </to>
                </anchor>
              </controlPr>
            </control>
          </mc:Choice>
        </mc:AlternateContent>
        <mc:AlternateContent xmlns:mc="http://schemas.openxmlformats.org/markup-compatibility/2006">
          <mc:Choice Requires="x14">
            <control shapeId="9284" r:id="rId71" name="Check Box 68">
              <controlPr defaultSize="0" autoFill="0" autoLine="0" autoPict="0">
                <anchor moveWithCells="1">
                  <from>
                    <xdr:col>5</xdr:col>
                    <xdr:colOff>0</xdr:colOff>
                    <xdr:row>50</xdr:row>
                    <xdr:rowOff>0</xdr:rowOff>
                  </from>
                  <to>
                    <xdr:col>6</xdr:col>
                    <xdr:colOff>0</xdr:colOff>
                    <xdr:row>51</xdr:row>
                    <xdr:rowOff>0</xdr:rowOff>
                  </to>
                </anchor>
              </controlPr>
            </control>
          </mc:Choice>
        </mc:AlternateContent>
        <mc:AlternateContent xmlns:mc="http://schemas.openxmlformats.org/markup-compatibility/2006">
          <mc:Choice Requires="x14">
            <control shapeId="9285" r:id="rId72" name="Check Box 69">
              <controlPr defaultSize="0" autoFill="0" autoLine="0" autoPict="0">
                <anchor moveWithCells="1">
                  <from>
                    <xdr:col>6</xdr:col>
                    <xdr:colOff>0</xdr:colOff>
                    <xdr:row>50</xdr:row>
                    <xdr:rowOff>0</xdr:rowOff>
                  </from>
                  <to>
                    <xdr:col>7</xdr:col>
                    <xdr:colOff>0</xdr:colOff>
                    <xdr:row>51</xdr:row>
                    <xdr:rowOff>0</xdr:rowOff>
                  </to>
                </anchor>
              </controlPr>
            </control>
          </mc:Choice>
        </mc:AlternateContent>
        <mc:AlternateContent xmlns:mc="http://schemas.openxmlformats.org/markup-compatibility/2006">
          <mc:Choice Requires="x14">
            <control shapeId="9286" r:id="rId73" name="Check Box 70">
              <controlPr defaultSize="0" autoFill="0" autoLine="0" autoPict="0">
                <anchor moveWithCells="1">
                  <from>
                    <xdr:col>4</xdr:col>
                    <xdr:colOff>0</xdr:colOff>
                    <xdr:row>50</xdr:row>
                    <xdr:rowOff>457200</xdr:rowOff>
                  </from>
                  <to>
                    <xdr:col>5</xdr:col>
                    <xdr:colOff>0</xdr:colOff>
                    <xdr:row>52</xdr:row>
                    <xdr:rowOff>0</xdr:rowOff>
                  </to>
                </anchor>
              </controlPr>
            </control>
          </mc:Choice>
        </mc:AlternateContent>
        <mc:AlternateContent xmlns:mc="http://schemas.openxmlformats.org/markup-compatibility/2006">
          <mc:Choice Requires="x14">
            <control shapeId="9287" r:id="rId74" name="Check Box 71">
              <controlPr defaultSize="0" autoFill="0" autoLine="0" autoPict="0">
                <anchor moveWithCells="1">
                  <from>
                    <xdr:col>5</xdr:col>
                    <xdr:colOff>0</xdr:colOff>
                    <xdr:row>50</xdr:row>
                    <xdr:rowOff>457200</xdr:rowOff>
                  </from>
                  <to>
                    <xdr:col>6</xdr:col>
                    <xdr:colOff>0</xdr:colOff>
                    <xdr:row>52</xdr:row>
                    <xdr:rowOff>0</xdr:rowOff>
                  </to>
                </anchor>
              </controlPr>
            </control>
          </mc:Choice>
        </mc:AlternateContent>
        <mc:AlternateContent xmlns:mc="http://schemas.openxmlformats.org/markup-compatibility/2006">
          <mc:Choice Requires="x14">
            <control shapeId="9288" r:id="rId75" name="Check Box 72">
              <controlPr defaultSize="0" autoFill="0" autoLine="0" autoPict="0">
                <anchor moveWithCells="1">
                  <from>
                    <xdr:col>6</xdr:col>
                    <xdr:colOff>0</xdr:colOff>
                    <xdr:row>50</xdr:row>
                    <xdr:rowOff>457200</xdr:rowOff>
                  </from>
                  <to>
                    <xdr:col>7</xdr:col>
                    <xdr:colOff>0</xdr:colOff>
                    <xdr:row>52</xdr:row>
                    <xdr:rowOff>0</xdr:rowOff>
                  </to>
                </anchor>
              </controlPr>
            </control>
          </mc:Choice>
        </mc:AlternateContent>
        <mc:AlternateContent xmlns:mc="http://schemas.openxmlformats.org/markup-compatibility/2006">
          <mc:Choice Requires="x14">
            <control shapeId="9289" r:id="rId76" name="Check Box 73">
              <controlPr defaultSize="0" autoFill="0" autoLine="0" autoPict="0">
                <anchor moveWithCells="1">
                  <from>
                    <xdr:col>4</xdr:col>
                    <xdr:colOff>0</xdr:colOff>
                    <xdr:row>51</xdr:row>
                    <xdr:rowOff>457200</xdr:rowOff>
                  </from>
                  <to>
                    <xdr:col>5</xdr:col>
                    <xdr:colOff>0</xdr:colOff>
                    <xdr:row>53</xdr:row>
                    <xdr:rowOff>0</xdr:rowOff>
                  </to>
                </anchor>
              </controlPr>
            </control>
          </mc:Choice>
        </mc:AlternateContent>
        <mc:AlternateContent xmlns:mc="http://schemas.openxmlformats.org/markup-compatibility/2006">
          <mc:Choice Requires="x14">
            <control shapeId="9290" r:id="rId77" name="Check Box 74">
              <controlPr defaultSize="0" autoFill="0" autoLine="0" autoPict="0">
                <anchor moveWithCells="1">
                  <from>
                    <xdr:col>5</xdr:col>
                    <xdr:colOff>0</xdr:colOff>
                    <xdr:row>51</xdr:row>
                    <xdr:rowOff>457200</xdr:rowOff>
                  </from>
                  <to>
                    <xdr:col>6</xdr:col>
                    <xdr:colOff>0</xdr:colOff>
                    <xdr:row>53</xdr:row>
                    <xdr:rowOff>0</xdr:rowOff>
                  </to>
                </anchor>
              </controlPr>
            </control>
          </mc:Choice>
        </mc:AlternateContent>
        <mc:AlternateContent xmlns:mc="http://schemas.openxmlformats.org/markup-compatibility/2006">
          <mc:Choice Requires="x14">
            <control shapeId="9291" r:id="rId78" name="Check Box 75">
              <controlPr defaultSize="0" autoFill="0" autoLine="0" autoPict="0">
                <anchor moveWithCells="1">
                  <from>
                    <xdr:col>6</xdr:col>
                    <xdr:colOff>0</xdr:colOff>
                    <xdr:row>51</xdr:row>
                    <xdr:rowOff>457200</xdr:rowOff>
                  </from>
                  <to>
                    <xdr:col>7</xdr:col>
                    <xdr:colOff>0</xdr:colOff>
                    <xdr:row>53</xdr:row>
                    <xdr:rowOff>0</xdr:rowOff>
                  </to>
                </anchor>
              </controlPr>
            </control>
          </mc:Choice>
        </mc:AlternateContent>
        <mc:AlternateContent xmlns:mc="http://schemas.openxmlformats.org/markup-compatibility/2006">
          <mc:Choice Requires="x14">
            <control shapeId="9292" r:id="rId79" name="Check Box 76">
              <controlPr defaultSize="0" autoFill="0" autoLine="0" autoPict="0">
                <anchor moveWithCells="1">
                  <from>
                    <xdr:col>4</xdr:col>
                    <xdr:colOff>0</xdr:colOff>
                    <xdr:row>53</xdr:row>
                    <xdr:rowOff>0</xdr:rowOff>
                  </from>
                  <to>
                    <xdr:col>5</xdr:col>
                    <xdr:colOff>0</xdr:colOff>
                    <xdr:row>54</xdr:row>
                    <xdr:rowOff>0</xdr:rowOff>
                  </to>
                </anchor>
              </controlPr>
            </control>
          </mc:Choice>
        </mc:AlternateContent>
        <mc:AlternateContent xmlns:mc="http://schemas.openxmlformats.org/markup-compatibility/2006">
          <mc:Choice Requires="x14">
            <control shapeId="9293" r:id="rId80" name="Check Box 77">
              <controlPr defaultSize="0" autoFill="0" autoLine="0" autoPict="0">
                <anchor moveWithCells="1">
                  <from>
                    <xdr:col>5</xdr:col>
                    <xdr:colOff>0</xdr:colOff>
                    <xdr:row>53</xdr:row>
                    <xdr:rowOff>0</xdr:rowOff>
                  </from>
                  <to>
                    <xdr:col>6</xdr:col>
                    <xdr:colOff>0</xdr:colOff>
                    <xdr:row>54</xdr:row>
                    <xdr:rowOff>0</xdr:rowOff>
                  </to>
                </anchor>
              </controlPr>
            </control>
          </mc:Choice>
        </mc:AlternateContent>
        <mc:AlternateContent xmlns:mc="http://schemas.openxmlformats.org/markup-compatibility/2006">
          <mc:Choice Requires="x14">
            <control shapeId="9294" r:id="rId81" name="Check Box 78">
              <controlPr defaultSize="0" autoFill="0" autoLine="0" autoPict="0">
                <anchor moveWithCells="1">
                  <from>
                    <xdr:col>6</xdr:col>
                    <xdr:colOff>0</xdr:colOff>
                    <xdr:row>53</xdr:row>
                    <xdr:rowOff>0</xdr:rowOff>
                  </from>
                  <to>
                    <xdr:col>7</xdr:col>
                    <xdr:colOff>0</xdr:colOff>
                    <xdr:row>54</xdr:row>
                    <xdr:rowOff>0</xdr:rowOff>
                  </to>
                </anchor>
              </controlPr>
            </control>
          </mc:Choice>
        </mc:AlternateContent>
        <mc:AlternateContent xmlns:mc="http://schemas.openxmlformats.org/markup-compatibility/2006">
          <mc:Choice Requires="x14">
            <control shapeId="9295" r:id="rId82" name="Check Box 79">
              <controlPr defaultSize="0" autoFill="0" autoLine="0" autoPict="0">
                <anchor moveWithCells="1">
                  <from>
                    <xdr:col>4</xdr:col>
                    <xdr:colOff>0</xdr:colOff>
                    <xdr:row>54</xdr:row>
                    <xdr:rowOff>0</xdr:rowOff>
                  </from>
                  <to>
                    <xdr:col>5</xdr:col>
                    <xdr:colOff>0</xdr:colOff>
                    <xdr:row>55</xdr:row>
                    <xdr:rowOff>0</xdr:rowOff>
                  </to>
                </anchor>
              </controlPr>
            </control>
          </mc:Choice>
        </mc:AlternateContent>
        <mc:AlternateContent xmlns:mc="http://schemas.openxmlformats.org/markup-compatibility/2006">
          <mc:Choice Requires="x14">
            <control shapeId="9296" r:id="rId83" name="Check Box 80">
              <controlPr defaultSize="0" autoFill="0" autoLine="0" autoPict="0">
                <anchor moveWithCells="1">
                  <from>
                    <xdr:col>5</xdr:col>
                    <xdr:colOff>0</xdr:colOff>
                    <xdr:row>54</xdr:row>
                    <xdr:rowOff>0</xdr:rowOff>
                  </from>
                  <to>
                    <xdr:col>6</xdr:col>
                    <xdr:colOff>0</xdr:colOff>
                    <xdr:row>55</xdr:row>
                    <xdr:rowOff>0</xdr:rowOff>
                  </to>
                </anchor>
              </controlPr>
            </control>
          </mc:Choice>
        </mc:AlternateContent>
        <mc:AlternateContent xmlns:mc="http://schemas.openxmlformats.org/markup-compatibility/2006">
          <mc:Choice Requires="x14">
            <control shapeId="9297" r:id="rId84" name="Check Box 81">
              <controlPr defaultSize="0" autoFill="0" autoLine="0" autoPict="0">
                <anchor moveWithCells="1">
                  <from>
                    <xdr:col>6</xdr:col>
                    <xdr:colOff>0</xdr:colOff>
                    <xdr:row>54</xdr:row>
                    <xdr:rowOff>0</xdr:rowOff>
                  </from>
                  <to>
                    <xdr:col>7</xdr:col>
                    <xdr:colOff>0</xdr:colOff>
                    <xdr:row>55</xdr:row>
                    <xdr:rowOff>0</xdr:rowOff>
                  </to>
                </anchor>
              </controlPr>
            </control>
          </mc:Choice>
        </mc:AlternateContent>
        <mc:AlternateContent xmlns:mc="http://schemas.openxmlformats.org/markup-compatibility/2006">
          <mc:Choice Requires="x14">
            <control shapeId="9298" r:id="rId85" name="Check Box 82">
              <controlPr defaultSize="0" autoFill="0" autoLine="0" autoPict="0">
                <anchor moveWithCells="1">
                  <from>
                    <xdr:col>4</xdr:col>
                    <xdr:colOff>0</xdr:colOff>
                    <xdr:row>55</xdr:row>
                    <xdr:rowOff>0</xdr:rowOff>
                  </from>
                  <to>
                    <xdr:col>5</xdr:col>
                    <xdr:colOff>0</xdr:colOff>
                    <xdr:row>56</xdr:row>
                    <xdr:rowOff>0</xdr:rowOff>
                  </to>
                </anchor>
              </controlPr>
            </control>
          </mc:Choice>
        </mc:AlternateContent>
        <mc:AlternateContent xmlns:mc="http://schemas.openxmlformats.org/markup-compatibility/2006">
          <mc:Choice Requires="x14">
            <control shapeId="9299" r:id="rId86" name="Check Box 83">
              <controlPr defaultSize="0" autoFill="0" autoLine="0" autoPict="0">
                <anchor moveWithCells="1">
                  <from>
                    <xdr:col>5</xdr:col>
                    <xdr:colOff>0</xdr:colOff>
                    <xdr:row>55</xdr:row>
                    <xdr:rowOff>0</xdr:rowOff>
                  </from>
                  <to>
                    <xdr:col>6</xdr:col>
                    <xdr:colOff>0</xdr:colOff>
                    <xdr:row>56</xdr:row>
                    <xdr:rowOff>0</xdr:rowOff>
                  </to>
                </anchor>
              </controlPr>
            </control>
          </mc:Choice>
        </mc:AlternateContent>
        <mc:AlternateContent xmlns:mc="http://schemas.openxmlformats.org/markup-compatibility/2006">
          <mc:Choice Requires="x14">
            <control shapeId="9300" r:id="rId87" name="Check Box 84">
              <controlPr defaultSize="0" autoFill="0" autoLine="0" autoPict="0">
                <anchor moveWithCells="1">
                  <from>
                    <xdr:col>6</xdr:col>
                    <xdr:colOff>0</xdr:colOff>
                    <xdr:row>55</xdr:row>
                    <xdr:rowOff>0</xdr:rowOff>
                  </from>
                  <to>
                    <xdr:col>7</xdr:col>
                    <xdr:colOff>0</xdr:colOff>
                    <xdr:row>56</xdr:row>
                    <xdr:rowOff>0</xdr:rowOff>
                  </to>
                </anchor>
              </controlPr>
            </control>
          </mc:Choice>
        </mc:AlternateContent>
        <mc:AlternateContent xmlns:mc="http://schemas.openxmlformats.org/markup-compatibility/2006">
          <mc:Choice Requires="x14">
            <control shapeId="9301" r:id="rId88" name="Check Box 85">
              <controlPr defaultSize="0" autoFill="0" autoLine="0" autoPict="0">
                <anchor moveWithCells="1">
                  <from>
                    <xdr:col>4</xdr:col>
                    <xdr:colOff>0</xdr:colOff>
                    <xdr:row>55</xdr:row>
                    <xdr:rowOff>685800</xdr:rowOff>
                  </from>
                  <to>
                    <xdr:col>5</xdr:col>
                    <xdr:colOff>0</xdr:colOff>
                    <xdr:row>57</xdr:row>
                    <xdr:rowOff>0</xdr:rowOff>
                  </to>
                </anchor>
              </controlPr>
            </control>
          </mc:Choice>
        </mc:AlternateContent>
        <mc:AlternateContent xmlns:mc="http://schemas.openxmlformats.org/markup-compatibility/2006">
          <mc:Choice Requires="x14">
            <control shapeId="9302" r:id="rId89" name="Check Box 86">
              <controlPr defaultSize="0" autoFill="0" autoLine="0" autoPict="0">
                <anchor moveWithCells="1">
                  <from>
                    <xdr:col>5</xdr:col>
                    <xdr:colOff>0</xdr:colOff>
                    <xdr:row>55</xdr:row>
                    <xdr:rowOff>685800</xdr:rowOff>
                  </from>
                  <to>
                    <xdr:col>6</xdr:col>
                    <xdr:colOff>0</xdr:colOff>
                    <xdr:row>57</xdr:row>
                    <xdr:rowOff>0</xdr:rowOff>
                  </to>
                </anchor>
              </controlPr>
            </control>
          </mc:Choice>
        </mc:AlternateContent>
        <mc:AlternateContent xmlns:mc="http://schemas.openxmlformats.org/markup-compatibility/2006">
          <mc:Choice Requires="x14">
            <control shapeId="9303" r:id="rId90" name="Check Box 87">
              <controlPr defaultSize="0" autoFill="0" autoLine="0" autoPict="0">
                <anchor moveWithCells="1">
                  <from>
                    <xdr:col>6</xdr:col>
                    <xdr:colOff>0</xdr:colOff>
                    <xdr:row>55</xdr:row>
                    <xdr:rowOff>685800</xdr:rowOff>
                  </from>
                  <to>
                    <xdr:col>7</xdr:col>
                    <xdr:colOff>0</xdr:colOff>
                    <xdr:row>57</xdr:row>
                    <xdr:rowOff>0</xdr:rowOff>
                  </to>
                </anchor>
              </controlPr>
            </control>
          </mc:Choice>
        </mc:AlternateContent>
        <mc:AlternateContent xmlns:mc="http://schemas.openxmlformats.org/markup-compatibility/2006">
          <mc:Choice Requires="x14">
            <control shapeId="9304" r:id="rId91" name="Check Box 88">
              <controlPr defaultSize="0" autoFill="0" autoLine="0" autoPict="0">
                <anchor moveWithCells="1">
                  <from>
                    <xdr:col>4</xdr:col>
                    <xdr:colOff>0</xdr:colOff>
                    <xdr:row>59</xdr:row>
                    <xdr:rowOff>228600</xdr:rowOff>
                  </from>
                  <to>
                    <xdr:col>5</xdr:col>
                    <xdr:colOff>0</xdr:colOff>
                    <xdr:row>61</xdr:row>
                    <xdr:rowOff>0</xdr:rowOff>
                  </to>
                </anchor>
              </controlPr>
            </control>
          </mc:Choice>
        </mc:AlternateContent>
        <mc:AlternateContent xmlns:mc="http://schemas.openxmlformats.org/markup-compatibility/2006">
          <mc:Choice Requires="x14">
            <control shapeId="9305" r:id="rId92" name="Check Box 89">
              <controlPr defaultSize="0" autoFill="0" autoLine="0" autoPict="0">
                <anchor moveWithCells="1">
                  <from>
                    <xdr:col>5</xdr:col>
                    <xdr:colOff>0</xdr:colOff>
                    <xdr:row>59</xdr:row>
                    <xdr:rowOff>228600</xdr:rowOff>
                  </from>
                  <to>
                    <xdr:col>6</xdr:col>
                    <xdr:colOff>0</xdr:colOff>
                    <xdr:row>61</xdr:row>
                    <xdr:rowOff>0</xdr:rowOff>
                  </to>
                </anchor>
              </controlPr>
            </control>
          </mc:Choice>
        </mc:AlternateContent>
        <mc:AlternateContent xmlns:mc="http://schemas.openxmlformats.org/markup-compatibility/2006">
          <mc:Choice Requires="x14">
            <control shapeId="9306" r:id="rId93" name="Check Box 90">
              <controlPr defaultSize="0" autoFill="0" autoLine="0" autoPict="0">
                <anchor moveWithCells="1">
                  <from>
                    <xdr:col>6</xdr:col>
                    <xdr:colOff>0</xdr:colOff>
                    <xdr:row>59</xdr:row>
                    <xdr:rowOff>228600</xdr:rowOff>
                  </from>
                  <to>
                    <xdr:col>7</xdr:col>
                    <xdr:colOff>0</xdr:colOff>
                    <xdr:row>61</xdr:row>
                    <xdr:rowOff>0</xdr:rowOff>
                  </to>
                </anchor>
              </controlPr>
            </control>
          </mc:Choice>
        </mc:AlternateContent>
        <mc:AlternateContent xmlns:mc="http://schemas.openxmlformats.org/markup-compatibility/2006">
          <mc:Choice Requires="x14">
            <control shapeId="9307" r:id="rId94" name="Check Box 91">
              <controlPr defaultSize="0" autoFill="0" autoLine="0" autoPict="0">
                <anchor moveWithCells="1">
                  <from>
                    <xdr:col>4</xdr:col>
                    <xdr:colOff>0</xdr:colOff>
                    <xdr:row>61</xdr:row>
                    <xdr:rowOff>0</xdr:rowOff>
                  </from>
                  <to>
                    <xdr:col>5</xdr:col>
                    <xdr:colOff>0</xdr:colOff>
                    <xdr:row>62</xdr:row>
                    <xdr:rowOff>0</xdr:rowOff>
                  </to>
                </anchor>
              </controlPr>
            </control>
          </mc:Choice>
        </mc:AlternateContent>
        <mc:AlternateContent xmlns:mc="http://schemas.openxmlformats.org/markup-compatibility/2006">
          <mc:Choice Requires="x14">
            <control shapeId="9308" r:id="rId95" name="Check Box 92">
              <controlPr defaultSize="0" autoFill="0" autoLine="0" autoPict="0">
                <anchor moveWithCells="1">
                  <from>
                    <xdr:col>5</xdr:col>
                    <xdr:colOff>0</xdr:colOff>
                    <xdr:row>61</xdr:row>
                    <xdr:rowOff>0</xdr:rowOff>
                  </from>
                  <to>
                    <xdr:col>6</xdr:col>
                    <xdr:colOff>0</xdr:colOff>
                    <xdr:row>62</xdr:row>
                    <xdr:rowOff>0</xdr:rowOff>
                  </to>
                </anchor>
              </controlPr>
            </control>
          </mc:Choice>
        </mc:AlternateContent>
        <mc:AlternateContent xmlns:mc="http://schemas.openxmlformats.org/markup-compatibility/2006">
          <mc:Choice Requires="x14">
            <control shapeId="9309" r:id="rId96" name="Check Box 93">
              <controlPr defaultSize="0" autoFill="0" autoLine="0" autoPict="0">
                <anchor moveWithCells="1">
                  <from>
                    <xdr:col>6</xdr:col>
                    <xdr:colOff>0</xdr:colOff>
                    <xdr:row>61</xdr:row>
                    <xdr:rowOff>0</xdr:rowOff>
                  </from>
                  <to>
                    <xdr:col>7</xdr:col>
                    <xdr:colOff>0</xdr:colOff>
                    <xdr:row>62</xdr:row>
                    <xdr:rowOff>0</xdr:rowOff>
                  </to>
                </anchor>
              </controlPr>
            </control>
          </mc:Choice>
        </mc:AlternateContent>
        <mc:AlternateContent xmlns:mc="http://schemas.openxmlformats.org/markup-compatibility/2006">
          <mc:Choice Requires="x14">
            <control shapeId="9310" r:id="rId97" name="Check Box 94">
              <controlPr defaultSize="0" autoFill="0" autoLine="0" autoPict="0">
                <anchor moveWithCells="1">
                  <from>
                    <xdr:col>4</xdr:col>
                    <xdr:colOff>0</xdr:colOff>
                    <xdr:row>62</xdr:row>
                    <xdr:rowOff>0</xdr:rowOff>
                  </from>
                  <to>
                    <xdr:col>5</xdr:col>
                    <xdr:colOff>0</xdr:colOff>
                    <xdr:row>63</xdr:row>
                    <xdr:rowOff>0</xdr:rowOff>
                  </to>
                </anchor>
              </controlPr>
            </control>
          </mc:Choice>
        </mc:AlternateContent>
        <mc:AlternateContent xmlns:mc="http://schemas.openxmlformats.org/markup-compatibility/2006">
          <mc:Choice Requires="x14">
            <control shapeId="9311" r:id="rId98" name="Check Box 95">
              <controlPr defaultSize="0" autoFill="0" autoLine="0" autoPict="0">
                <anchor moveWithCells="1">
                  <from>
                    <xdr:col>5</xdr:col>
                    <xdr:colOff>0</xdr:colOff>
                    <xdr:row>62</xdr:row>
                    <xdr:rowOff>0</xdr:rowOff>
                  </from>
                  <to>
                    <xdr:col>6</xdr:col>
                    <xdr:colOff>0</xdr:colOff>
                    <xdr:row>63</xdr:row>
                    <xdr:rowOff>0</xdr:rowOff>
                  </to>
                </anchor>
              </controlPr>
            </control>
          </mc:Choice>
        </mc:AlternateContent>
        <mc:AlternateContent xmlns:mc="http://schemas.openxmlformats.org/markup-compatibility/2006">
          <mc:Choice Requires="x14">
            <control shapeId="9312" r:id="rId99" name="Check Box 96">
              <controlPr defaultSize="0" autoFill="0" autoLine="0" autoPict="0">
                <anchor moveWithCells="1">
                  <from>
                    <xdr:col>6</xdr:col>
                    <xdr:colOff>0</xdr:colOff>
                    <xdr:row>62</xdr:row>
                    <xdr:rowOff>0</xdr:rowOff>
                  </from>
                  <to>
                    <xdr:col>7</xdr:col>
                    <xdr:colOff>0</xdr:colOff>
                    <xdr:row>63</xdr:row>
                    <xdr:rowOff>0</xdr:rowOff>
                  </to>
                </anchor>
              </controlPr>
            </control>
          </mc:Choice>
        </mc:AlternateContent>
        <mc:AlternateContent xmlns:mc="http://schemas.openxmlformats.org/markup-compatibility/2006">
          <mc:Choice Requires="x14">
            <control shapeId="9313" r:id="rId100" name="Check Box 97">
              <controlPr defaultSize="0" autoFill="0" autoLine="0" autoPict="0">
                <anchor moveWithCells="1">
                  <from>
                    <xdr:col>4</xdr:col>
                    <xdr:colOff>0</xdr:colOff>
                    <xdr:row>72</xdr:row>
                    <xdr:rowOff>0</xdr:rowOff>
                  </from>
                  <to>
                    <xdr:col>5</xdr:col>
                    <xdr:colOff>0</xdr:colOff>
                    <xdr:row>73</xdr:row>
                    <xdr:rowOff>0</xdr:rowOff>
                  </to>
                </anchor>
              </controlPr>
            </control>
          </mc:Choice>
        </mc:AlternateContent>
        <mc:AlternateContent xmlns:mc="http://schemas.openxmlformats.org/markup-compatibility/2006">
          <mc:Choice Requires="x14">
            <control shapeId="9314" r:id="rId101" name="Check Box 98">
              <controlPr defaultSize="0" autoFill="0" autoLine="0" autoPict="0">
                <anchor moveWithCells="1">
                  <from>
                    <xdr:col>5</xdr:col>
                    <xdr:colOff>0</xdr:colOff>
                    <xdr:row>72</xdr:row>
                    <xdr:rowOff>0</xdr:rowOff>
                  </from>
                  <to>
                    <xdr:col>6</xdr:col>
                    <xdr:colOff>0</xdr:colOff>
                    <xdr:row>73</xdr:row>
                    <xdr:rowOff>0</xdr:rowOff>
                  </to>
                </anchor>
              </controlPr>
            </control>
          </mc:Choice>
        </mc:AlternateContent>
        <mc:AlternateContent xmlns:mc="http://schemas.openxmlformats.org/markup-compatibility/2006">
          <mc:Choice Requires="x14">
            <control shapeId="9315" r:id="rId102" name="Check Box 99">
              <controlPr defaultSize="0" autoFill="0" autoLine="0" autoPict="0">
                <anchor moveWithCells="1">
                  <from>
                    <xdr:col>6</xdr:col>
                    <xdr:colOff>0</xdr:colOff>
                    <xdr:row>72</xdr:row>
                    <xdr:rowOff>0</xdr:rowOff>
                  </from>
                  <to>
                    <xdr:col>7</xdr:col>
                    <xdr:colOff>0</xdr:colOff>
                    <xdr:row>73</xdr:row>
                    <xdr:rowOff>0</xdr:rowOff>
                  </to>
                </anchor>
              </controlPr>
            </control>
          </mc:Choice>
        </mc:AlternateContent>
        <mc:AlternateContent xmlns:mc="http://schemas.openxmlformats.org/markup-compatibility/2006">
          <mc:Choice Requires="x14">
            <control shapeId="9316" r:id="rId103" name="Check Box 100">
              <controlPr defaultSize="0" autoFill="0" autoLine="0" autoPict="0">
                <anchor moveWithCells="1">
                  <from>
                    <xdr:col>4</xdr:col>
                    <xdr:colOff>0</xdr:colOff>
                    <xdr:row>72</xdr:row>
                    <xdr:rowOff>2514600</xdr:rowOff>
                  </from>
                  <to>
                    <xdr:col>5</xdr:col>
                    <xdr:colOff>0</xdr:colOff>
                    <xdr:row>74</xdr:row>
                    <xdr:rowOff>0</xdr:rowOff>
                  </to>
                </anchor>
              </controlPr>
            </control>
          </mc:Choice>
        </mc:AlternateContent>
        <mc:AlternateContent xmlns:mc="http://schemas.openxmlformats.org/markup-compatibility/2006">
          <mc:Choice Requires="x14">
            <control shapeId="9317" r:id="rId104" name="Check Box 101">
              <controlPr defaultSize="0" autoFill="0" autoLine="0" autoPict="0">
                <anchor moveWithCells="1">
                  <from>
                    <xdr:col>5</xdr:col>
                    <xdr:colOff>0</xdr:colOff>
                    <xdr:row>72</xdr:row>
                    <xdr:rowOff>2514600</xdr:rowOff>
                  </from>
                  <to>
                    <xdr:col>6</xdr:col>
                    <xdr:colOff>0</xdr:colOff>
                    <xdr:row>74</xdr:row>
                    <xdr:rowOff>0</xdr:rowOff>
                  </to>
                </anchor>
              </controlPr>
            </control>
          </mc:Choice>
        </mc:AlternateContent>
        <mc:AlternateContent xmlns:mc="http://schemas.openxmlformats.org/markup-compatibility/2006">
          <mc:Choice Requires="x14">
            <control shapeId="9318" r:id="rId105" name="Check Box 102">
              <controlPr defaultSize="0" autoFill="0" autoLine="0" autoPict="0">
                <anchor moveWithCells="1">
                  <from>
                    <xdr:col>6</xdr:col>
                    <xdr:colOff>0</xdr:colOff>
                    <xdr:row>72</xdr:row>
                    <xdr:rowOff>2514600</xdr:rowOff>
                  </from>
                  <to>
                    <xdr:col>7</xdr:col>
                    <xdr:colOff>0</xdr:colOff>
                    <xdr:row>74</xdr:row>
                    <xdr:rowOff>0</xdr:rowOff>
                  </to>
                </anchor>
              </controlPr>
            </control>
          </mc:Choice>
        </mc:AlternateContent>
        <mc:AlternateContent xmlns:mc="http://schemas.openxmlformats.org/markup-compatibility/2006">
          <mc:Choice Requires="x14">
            <control shapeId="9331" r:id="rId106" name="Check Box 115">
              <controlPr defaultSize="0" autoFill="0" autoLine="0" autoPict="0">
                <anchor moveWithCells="1">
                  <from>
                    <xdr:col>4</xdr:col>
                    <xdr:colOff>0</xdr:colOff>
                    <xdr:row>77</xdr:row>
                    <xdr:rowOff>228600</xdr:rowOff>
                  </from>
                  <to>
                    <xdr:col>5</xdr:col>
                    <xdr:colOff>0</xdr:colOff>
                    <xdr:row>79</xdr:row>
                    <xdr:rowOff>0</xdr:rowOff>
                  </to>
                </anchor>
              </controlPr>
            </control>
          </mc:Choice>
        </mc:AlternateContent>
        <mc:AlternateContent xmlns:mc="http://schemas.openxmlformats.org/markup-compatibility/2006">
          <mc:Choice Requires="x14">
            <control shapeId="9332" r:id="rId107" name="Check Box 116">
              <controlPr defaultSize="0" autoFill="0" autoLine="0" autoPict="0">
                <anchor moveWithCells="1">
                  <from>
                    <xdr:col>5</xdr:col>
                    <xdr:colOff>0</xdr:colOff>
                    <xdr:row>77</xdr:row>
                    <xdr:rowOff>228600</xdr:rowOff>
                  </from>
                  <to>
                    <xdr:col>6</xdr:col>
                    <xdr:colOff>0</xdr:colOff>
                    <xdr:row>79</xdr:row>
                    <xdr:rowOff>0</xdr:rowOff>
                  </to>
                </anchor>
              </controlPr>
            </control>
          </mc:Choice>
        </mc:AlternateContent>
        <mc:AlternateContent xmlns:mc="http://schemas.openxmlformats.org/markup-compatibility/2006">
          <mc:Choice Requires="x14">
            <control shapeId="9333" r:id="rId108" name="Check Box 117">
              <controlPr defaultSize="0" autoFill="0" autoLine="0" autoPict="0">
                <anchor moveWithCells="1">
                  <from>
                    <xdr:col>6</xdr:col>
                    <xdr:colOff>0</xdr:colOff>
                    <xdr:row>77</xdr:row>
                    <xdr:rowOff>228600</xdr:rowOff>
                  </from>
                  <to>
                    <xdr:col>7</xdr:col>
                    <xdr:colOff>0</xdr:colOff>
                    <xdr:row>79</xdr:row>
                    <xdr:rowOff>0</xdr:rowOff>
                  </to>
                </anchor>
              </controlPr>
            </control>
          </mc:Choice>
        </mc:AlternateContent>
        <mc:AlternateContent xmlns:mc="http://schemas.openxmlformats.org/markup-compatibility/2006">
          <mc:Choice Requires="x14">
            <control shapeId="9337" r:id="rId109" name="Check Box 121">
              <controlPr defaultSize="0" autoFill="0" autoLine="0" autoPict="0">
                <anchor moveWithCells="1">
                  <from>
                    <xdr:col>4</xdr:col>
                    <xdr:colOff>0</xdr:colOff>
                    <xdr:row>79</xdr:row>
                    <xdr:rowOff>2159000</xdr:rowOff>
                  </from>
                  <to>
                    <xdr:col>4</xdr:col>
                    <xdr:colOff>660400</xdr:colOff>
                    <xdr:row>81</xdr:row>
                    <xdr:rowOff>12700</xdr:rowOff>
                  </to>
                </anchor>
              </controlPr>
            </control>
          </mc:Choice>
        </mc:AlternateContent>
        <mc:AlternateContent xmlns:mc="http://schemas.openxmlformats.org/markup-compatibility/2006">
          <mc:Choice Requires="x14">
            <control shapeId="9338" r:id="rId110" name="Check Box 122">
              <controlPr defaultSize="0" autoFill="0" autoLine="0" autoPict="0">
                <anchor moveWithCells="1">
                  <from>
                    <xdr:col>5</xdr:col>
                    <xdr:colOff>0</xdr:colOff>
                    <xdr:row>80</xdr:row>
                    <xdr:rowOff>0</xdr:rowOff>
                  </from>
                  <to>
                    <xdr:col>6</xdr:col>
                    <xdr:colOff>0</xdr:colOff>
                    <xdr:row>81</xdr:row>
                    <xdr:rowOff>0</xdr:rowOff>
                  </to>
                </anchor>
              </controlPr>
            </control>
          </mc:Choice>
        </mc:AlternateContent>
        <mc:AlternateContent xmlns:mc="http://schemas.openxmlformats.org/markup-compatibility/2006">
          <mc:Choice Requires="x14">
            <control shapeId="9339" r:id="rId111" name="Check Box 123">
              <controlPr defaultSize="0" autoFill="0" autoLine="0" autoPict="0">
                <anchor moveWithCells="1">
                  <from>
                    <xdr:col>6</xdr:col>
                    <xdr:colOff>0</xdr:colOff>
                    <xdr:row>80</xdr:row>
                    <xdr:rowOff>0</xdr:rowOff>
                  </from>
                  <to>
                    <xdr:col>6</xdr:col>
                    <xdr:colOff>647700</xdr:colOff>
                    <xdr:row>81</xdr:row>
                    <xdr:rowOff>12700</xdr:rowOff>
                  </to>
                </anchor>
              </controlPr>
            </control>
          </mc:Choice>
        </mc:AlternateContent>
        <mc:AlternateContent xmlns:mc="http://schemas.openxmlformats.org/markup-compatibility/2006">
          <mc:Choice Requires="x14">
            <control shapeId="9340" r:id="rId112" name="Check Box 124">
              <controlPr defaultSize="0" autoFill="0" autoLine="0" autoPict="0">
                <anchor moveWithCells="1">
                  <from>
                    <xdr:col>4</xdr:col>
                    <xdr:colOff>0</xdr:colOff>
                    <xdr:row>81</xdr:row>
                    <xdr:rowOff>0</xdr:rowOff>
                  </from>
                  <to>
                    <xdr:col>5</xdr:col>
                    <xdr:colOff>0</xdr:colOff>
                    <xdr:row>82</xdr:row>
                    <xdr:rowOff>0</xdr:rowOff>
                  </to>
                </anchor>
              </controlPr>
            </control>
          </mc:Choice>
        </mc:AlternateContent>
        <mc:AlternateContent xmlns:mc="http://schemas.openxmlformats.org/markup-compatibility/2006">
          <mc:Choice Requires="x14">
            <control shapeId="9341" r:id="rId113" name="Check Box 125">
              <controlPr defaultSize="0" autoFill="0" autoLine="0" autoPict="0">
                <anchor moveWithCells="1">
                  <from>
                    <xdr:col>5</xdr:col>
                    <xdr:colOff>0</xdr:colOff>
                    <xdr:row>81</xdr:row>
                    <xdr:rowOff>0</xdr:rowOff>
                  </from>
                  <to>
                    <xdr:col>6</xdr:col>
                    <xdr:colOff>0</xdr:colOff>
                    <xdr:row>82</xdr:row>
                    <xdr:rowOff>0</xdr:rowOff>
                  </to>
                </anchor>
              </controlPr>
            </control>
          </mc:Choice>
        </mc:AlternateContent>
        <mc:AlternateContent xmlns:mc="http://schemas.openxmlformats.org/markup-compatibility/2006">
          <mc:Choice Requires="x14">
            <control shapeId="9342" r:id="rId114" name="Check Box 126">
              <controlPr defaultSize="0" autoFill="0" autoLine="0" autoPict="0">
                <anchor moveWithCells="1">
                  <from>
                    <xdr:col>6</xdr:col>
                    <xdr:colOff>0</xdr:colOff>
                    <xdr:row>81</xdr:row>
                    <xdr:rowOff>0</xdr:rowOff>
                  </from>
                  <to>
                    <xdr:col>7</xdr:col>
                    <xdr:colOff>0</xdr:colOff>
                    <xdr:row>82</xdr:row>
                    <xdr:rowOff>0</xdr:rowOff>
                  </to>
                </anchor>
              </controlPr>
            </control>
          </mc:Choice>
        </mc:AlternateContent>
        <mc:AlternateContent xmlns:mc="http://schemas.openxmlformats.org/markup-compatibility/2006">
          <mc:Choice Requires="x14">
            <control shapeId="9343" r:id="rId115" name="Check Box 127">
              <controlPr defaultSize="0" autoFill="0" autoLine="0" autoPict="0">
                <anchor moveWithCells="1">
                  <from>
                    <xdr:col>4</xdr:col>
                    <xdr:colOff>0</xdr:colOff>
                    <xdr:row>82</xdr:row>
                    <xdr:rowOff>0</xdr:rowOff>
                  </from>
                  <to>
                    <xdr:col>5</xdr:col>
                    <xdr:colOff>0</xdr:colOff>
                    <xdr:row>83</xdr:row>
                    <xdr:rowOff>0</xdr:rowOff>
                  </to>
                </anchor>
              </controlPr>
            </control>
          </mc:Choice>
        </mc:AlternateContent>
        <mc:AlternateContent xmlns:mc="http://schemas.openxmlformats.org/markup-compatibility/2006">
          <mc:Choice Requires="x14">
            <control shapeId="9344" r:id="rId116" name="Check Box 128">
              <controlPr defaultSize="0" autoFill="0" autoLine="0" autoPict="0">
                <anchor moveWithCells="1">
                  <from>
                    <xdr:col>4</xdr:col>
                    <xdr:colOff>0</xdr:colOff>
                    <xdr:row>82</xdr:row>
                    <xdr:rowOff>685800</xdr:rowOff>
                  </from>
                  <to>
                    <xdr:col>5</xdr:col>
                    <xdr:colOff>0</xdr:colOff>
                    <xdr:row>84</xdr:row>
                    <xdr:rowOff>0</xdr:rowOff>
                  </to>
                </anchor>
              </controlPr>
            </control>
          </mc:Choice>
        </mc:AlternateContent>
        <mc:AlternateContent xmlns:mc="http://schemas.openxmlformats.org/markup-compatibility/2006">
          <mc:Choice Requires="x14">
            <control shapeId="9345" r:id="rId117" name="Check Box 129">
              <controlPr defaultSize="0" autoFill="0" autoLine="0" autoPict="0">
                <anchor moveWithCells="1">
                  <from>
                    <xdr:col>4</xdr:col>
                    <xdr:colOff>0</xdr:colOff>
                    <xdr:row>84</xdr:row>
                    <xdr:rowOff>0</xdr:rowOff>
                  </from>
                  <to>
                    <xdr:col>5</xdr:col>
                    <xdr:colOff>0</xdr:colOff>
                    <xdr:row>84</xdr:row>
                    <xdr:rowOff>482600</xdr:rowOff>
                  </to>
                </anchor>
              </controlPr>
            </control>
          </mc:Choice>
        </mc:AlternateContent>
        <mc:AlternateContent xmlns:mc="http://schemas.openxmlformats.org/markup-compatibility/2006">
          <mc:Choice Requires="x14">
            <control shapeId="9346" r:id="rId118" name="Check Box 130">
              <controlPr defaultSize="0" autoFill="0" autoLine="0" autoPict="0">
                <anchor moveWithCells="1">
                  <from>
                    <xdr:col>5</xdr:col>
                    <xdr:colOff>0</xdr:colOff>
                    <xdr:row>82</xdr:row>
                    <xdr:rowOff>0</xdr:rowOff>
                  </from>
                  <to>
                    <xdr:col>6</xdr:col>
                    <xdr:colOff>0</xdr:colOff>
                    <xdr:row>83</xdr:row>
                    <xdr:rowOff>0</xdr:rowOff>
                  </to>
                </anchor>
              </controlPr>
            </control>
          </mc:Choice>
        </mc:AlternateContent>
        <mc:AlternateContent xmlns:mc="http://schemas.openxmlformats.org/markup-compatibility/2006">
          <mc:Choice Requires="x14">
            <control shapeId="9347" r:id="rId119" name="Check Box 131">
              <controlPr defaultSize="0" autoFill="0" autoLine="0" autoPict="0">
                <anchor moveWithCells="1">
                  <from>
                    <xdr:col>6</xdr:col>
                    <xdr:colOff>0</xdr:colOff>
                    <xdr:row>82</xdr:row>
                    <xdr:rowOff>0</xdr:rowOff>
                  </from>
                  <to>
                    <xdr:col>7</xdr:col>
                    <xdr:colOff>0</xdr:colOff>
                    <xdr:row>83</xdr:row>
                    <xdr:rowOff>0</xdr:rowOff>
                  </to>
                </anchor>
              </controlPr>
            </control>
          </mc:Choice>
        </mc:AlternateContent>
        <mc:AlternateContent xmlns:mc="http://schemas.openxmlformats.org/markup-compatibility/2006">
          <mc:Choice Requires="x14">
            <control shapeId="9348" r:id="rId120" name="Check Box 132">
              <controlPr defaultSize="0" autoFill="0" autoLine="0" autoPict="0">
                <anchor moveWithCells="1">
                  <from>
                    <xdr:col>5</xdr:col>
                    <xdr:colOff>0</xdr:colOff>
                    <xdr:row>82</xdr:row>
                    <xdr:rowOff>685800</xdr:rowOff>
                  </from>
                  <to>
                    <xdr:col>6</xdr:col>
                    <xdr:colOff>0</xdr:colOff>
                    <xdr:row>84</xdr:row>
                    <xdr:rowOff>0</xdr:rowOff>
                  </to>
                </anchor>
              </controlPr>
            </control>
          </mc:Choice>
        </mc:AlternateContent>
        <mc:AlternateContent xmlns:mc="http://schemas.openxmlformats.org/markup-compatibility/2006">
          <mc:Choice Requires="x14">
            <control shapeId="9349" r:id="rId121" name="Check Box 133">
              <controlPr defaultSize="0" autoFill="0" autoLine="0" autoPict="0">
                <anchor moveWithCells="1">
                  <from>
                    <xdr:col>6</xdr:col>
                    <xdr:colOff>0</xdr:colOff>
                    <xdr:row>82</xdr:row>
                    <xdr:rowOff>685800</xdr:rowOff>
                  </from>
                  <to>
                    <xdr:col>7</xdr:col>
                    <xdr:colOff>0</xdr:colOff>
                    <xdr:row>84</xdr:row>
                    <xdr:rowOff>0</xdr:rowOff>
                  </to>
                </anchor>
              </controlPr>
            </control>
          </mc:Choice>
        </mc:AlternateContent>
        <mc:AlternateContent xmlns:mc="http://schemas.openxmlformats.org/markup-compatibility/2006">
          <mc:Choice Requires="x14">
            <control shapeId="9350" r:id="rId122" name="Check Box 134">
              <controlPr defaultSize="0" autoFill="0" autoLine="0" autoPict="0">
                <anchor moveWithCells="1">
                  <from>
                    <xdr:col>5</xdr:col>
                    <xdr:colOff>0</xdr:colOff>
                    <xdr:row>84</xdr:row>
                    <xdr:rowOff>0</xdr:rowOff>
                  </from>
                  <to>
                    <xdr:col>6</xdr:col>
                    <xdr:colOff>0</xdr:colOff>
                    <xdr:row>84</xdr:row>
                    <xdr:rowOff>482600</xdr:rowOff>
                  </to>
                </anchor>
              </controlPr>
            </control>
          </mc:Choice>
        </mc:AlternateContent>
        <mc:AlternateContent xmlns:mc="http://schemas.openxmlformats.org/markup-compatibility/2006">
          <mc:Choice Requires="x14">
            <control shapeId="9351" r:id="rId123" name="Check Box 135">
              <controlPr defaultSize="0" autoFill="0" autoLine="0" autoPict="0">
                <anchor moveWithCells="1">
                  <from>
                    <xdr:col>6</xdr:col>
                    <xdr:colOff>0</xdr:colOff>
                    <xdr:row>84</xdr:row>
                    <xdr:rowOff>0</xdr:rowOff>
                  </from>
                  <to>
                    <xdr:col>7</xdr:col>
                    <xdr:colOff>0</xdr:colOff>
                    <xdr:row>84</xdr:row>
                    <xdr:rowOff>482600</xdr:rowOff>
                  </to>
                </anchor>
              </controlPr>
            </control>
          </mc:Choice>
        </mc:AlternateContent>
        <mc:AlternateContent xmlns:mc="http://schemas.openxmlformats.org/markup-compatibility/2006">
          <mc:Choice Requires="x14">
            <control shapeId="9391" r:id="rId124" name="Check Box 175">
              <controlPr defaultSize="0" autoFill="0" autoLine="0" autoPict="0">
                <anchor moveWithCells="1">
                  <from>
                    <xdr:col>3</xdr:col>
                    <xdr:colOff>76200</xdr:colOff>
                    <xdr:row>11</xdr:row>
                    <xdr:rowOff>12700</xdr:rowOff>
                  </from>
                  <to>
                    <xdr:col>3</xdr:col>
                    <xdr:colOff>736600</xdr:colOff>
                    <xdr:row>11</xdr:row>
                    <xdr:rowOff>241300</xdr:rowOff>
                  </to>
                </anchor>
              </controlPr>
            </control>
          </mc:Choice>
        </mc:AlternateContent>
        <mc:AlternateContent xmlns:mc="http://schemas.openxmlformats.org/markup-compatibility/2006">
          <mc:Choice Requires="x14">
            <control shapeId="9392" r:id="rId125" name="Check Box 176">
              <controlPr defaultSize="0" autoFill="0" autoLine="0" autoPict="0">
                <anchor moveWithCells="1">
                  <from>
                    <xdr:col>3</xdr:col>
                    <xdr:colOff>1879600</xdr:colOff>
                    <xdr:row>11</xdr:row>
                    <xdr:rowOff>12700</xdr:rowOff>
                  </from>
                  <to>
                    <xdr:col>3</xdr:col>
                    <xdr:colOff>2679700</xdr:colOff>
                    <xdr:row>11</xdr:row>
                    <xdr:rowOff>266700</xdr:rowOff>
                  </to>
                </anchor>
              </controlPr>
            </control>
          </mc:Choice>
        </mc:AlternateContent>
        <mc:AlternateContent xmlns:mc="http://schemas.openxmlformats.org/markup-compatibility/2006">
          <mc:Choice Requires="x14">
            <control shapeId="9393" r:id="rId126" name="Check Box 177">
              <controlPr defaultSize="0" autoFill="0" autoLine="0" autoPict="0">
                <anchor moveWithCells="1">
                  <from>
                    <xdr:col>3</xdr:col>
                    <xdr:colOff>2870200</xdr:colOff>
                    <xdr:row>11</xdr:row>
                    <xdr:rowOff>12700</xdr:rowOff>
                  </from>
                  <to>
                    <xdr:col>3</xdr:col>
                    <xdr:colOff>3657600</xdr:colOff>
                    <xdr:row>11</xdr:row>
                    <xdr:rowOff>241300</xdr:rowOff>
                  </to>
                </anchor>
              </controlPr>
            </control>
          </mc:Choice>
        </mc:AlternateContent>
        <mc:AlternateContent xmlns:mc="http://schemas.openxmlformats.org/markup-compatibility/2006">
          <mc:Choice Requires="x14">
            <control shapeId="9394" r:id="rId127" name="Check Box 178">
              <controlPr defaultSize="0" autoFill="0" autoLine="0" autoPict="0">
                <anchor moveWithCells="1">
                  <from>
                    <xdr:col>3</xdr:col>
                    <xdr:colOff>3848100</xdr:colOff>
                    <xdr:row>11</xdr:row>
                    <xdr:rowOff>12700</xdr:rowOff>
                  </from>
                  <to>
                    <xdr:col>3</xdr:col>
                    <xdr:colOff>4927600</xdr:colOff>
                    <xdr:row>11</xdr:row>
                    <xdr:rowOff>241300</xdr:rowOff>
                  </to>
                </anchor>
              </controlPr>
            </control>
          </mc:Choice>
        </mc:AlternateContent>
        <mc:AlternateContent xmlns:mc="http://schemas.openxmlformats.org/markup-compatibility/2006">
          <mc:Choice Requires="x14">
            <control shapeId="9395" r:id="rId128" name="Check Box 179">
              <controlPr defaultSize="0" autoFill="0" autoLine="0" autoPict="0">
                <anchor moveWithCells="1">
                  <from>
                    <xdr:col>3</xdr:col>
                    <xdr:colOff>1879600</xdr:colOff>
                    <xdr:row>11</xdr:row>
                    <xdr:rowOff>203200</xdr:rowOff>
                  </from>
                  <to>
                    <xdr:col>3</xdr:col>
                    <xdr:colOff>2552700</xdr:colOff>
                    <xdr:row>12</xdr:row>
                    <xdr:rowOff>12700</xdr:rowOff>
                  </to>
                </anchor>
              </controlPr>
            </control>
          </mc:Choice>
        </mc:AlternateContent>
        <mc:AlternateContent xmlns:mc="http://schemas.openxmlformats.org/markup-compatibility/2006">
          <mc:Choice Requires="x14">
            <control shapeId="9396" r:id="rId129" name="Check Box 180">
              <controlPr defaultSize="0" autoFill="0" autoLine="0" autoPict="0">
                <anchor moveWithCells="1">
                  <from>
                    <xdr:col>3</xdr:col>
                    <xdr:colOff>12700</xdr:colOff>
                    <xdr:row>13</xdr:row>
                    <xdr:rowOff>0</xdr:rowOff>
                  </from>
                  <to>
                    <xdr:col>4</xdr:col>
                    <xdr:colOff>0</xdr:colOff>
                    <xdr:row>14</xdr:row>
                    <xdr:rowOff>0</xdr:rowOff>
                  </to>
                </anchor>
              </controlPr>
            </control>
          </mc:Choice>
        </mc:AlternateContent>
        <mc:AlternateContent xmlns:mc="http://schemas.openxmlformats.org/markup-compatibility/2006">
          <mc:Choice Requires="x14">
            <control shapeId="9397" r:id="rId130" name="Check Box 181">
              <controlPr defaultSize="0" autoFill="0" autoLine="0" autoPict="0">
                <anchor moveWithCells="1">
                  <from>
                    <xdr:col>3</xdr:col>
                    <xdr:colOff>12700</xdr:colOff>
                    <xdr:row>14</xdr:row>
                    <xdr:rowOff>0</xdr:rowOff>
                  </from>
                  <to>
                    <xdr:col>4</xdr:col>
                    <xdr:colOff>0</xdr:colOff>
                    <xdr:row>15</xdr:row>
                    <xdr:rowOff>12700</xdr:rowOff>
                  </to>
                </anchor>
              </controlPr>
            </control>
          </mc:Choice>
        </mc:AlternateContent>
        <mc:AlternateContent xmlns:mc="http://schemas.openxmlformats.org/markup-compatibility/2006">
          <mc:Choice Requires="x14">
            <control shapeId="9398" r:id="rId131" name="Check Box 182">
              <controlPr defaultSize="0" autoFill="0" autoLine="0" autoPict="0">
                <anchor moveWithCells="1">
                  <from>
                    <xdr:col>3</xdr:col>
                    <xdr:colOff>12700</xdr:colOff>
                    <xdr:row>15</xdr:row>
                    <xdr:rowOff>0</xdr:rowOff>
                  </from>
                  <to>
                    <xdr:col>4</xdr:col>
                    <xdr:colOff>0</xdr:colOff>
                    <xdr:row>16</xdr:row>
                    <xdr:rowOff>0</xdr:rowOff>
                  </to>
                </anchor>
              </controlPr>
            </control>
          </mc:Choice>
        </mc:AlternateContent>
        <mc:AlternateContent xmlns:mc="http://schemas.openxmlformats.org/markup-compatibility/2006">
          <mc:Choice Requires="x14">
            <control shapeId="9399" r:id="rId132" name="Check Box 183">
              <controlPr defaultSize="0" autoFill="0" autoLine="0" autoPict="0">
                <anchor moveWithCells="1">
                  <from>
                    <xdr:col>4</xdr:col>
                    <xdr:colOff>0</xdr:colOff>
                    <xdr:row>63</xdr:row>
                    <xdr:rowOff>0</xdr:rowOff>
                  </from>
                  <to>
                    <xdr:col>5</xdr:col>
                    <xdr:colOff>0</xdr:colOff>
                    <xdr:row>64</xdr:row>
                    <xdr:rowOff>0</xdr:rowOff>
                  </to>
                </anchor>
              </controlPr>
            </control>
          </mc:Choice>
        </mc:AlternateContent>
        <mc:AlternateContent xmlns:mc="http://schemas.openxmlformats.org/markup-compatibility/2006">
          <mc:Choice Requires="x14">
            <control shapeId="9400" r:id="rId133" name="Check Box 184">
              <controlPr defaultSize="0" autoFill="0" autoLine="0" autoPict="0">
                <anchor moveWithCells="1">
                  <from>
                    <xdr:col>5</xdr:col>
                    <xdr:colOff>0</xdr:colOff>
                    <xdr:row>63</xdr:row>
                    <xdr:rowOff>0</xdr:rowOff>
                  </from>
                  <to>
                    <xdr:col>6</xdr:col>
                    <xdr:colOff>0</xdr:colOff>
                    <xdr:row>64</xdr:row>
                    <xdr:rowOff>0</xdr:rowOff>
                  </to>
                </anchor>
              </controlPr>
            </control>
          </mc:Choice>
        </mc:AlternateContent>
        <mc:AlternateContent xmlns:mc="http://schemas.openxmlformats.org/markup-compatibility/2006">
          <mc:Choice Requires="x14">
            <control shapeId="9401" r:id="rId134" name="Check Box 185">
              <controlPr defaultSize="0" autoFill="0" autoLine="0" autoPict="0">
                <anchor moveWithCells="1">
                  <from>
                    <xdr:col>6</xdr:col>
                    <xdr:colOff>0</xdr:colOff>
                    <xdr:row>63</xdr:row>
                    <xdr:rowOff>0</xdr:rowOff>
                  </from>
                  <to>
                    <xdr:col>7</xdr:col>
                    <xdr:colOff>0</xdr:colOff>
                    <xdr:row>64</xdr:row>
                    <xdr:rowOff>0</xdr:rowOff>
                  </to>
                </anchor>
              </controlPr>
            </control>
          </mc:Choice>
        </mc:AlternateContent>
        <mc:AlternateContent xmlns:mc="http://schemas.openxmlformats.org/markup-compatibility/2006">
          <mc:Choice Requires="x14">
            <control shapeId="9402" r:id="rId135" name="Check Box 186">
              <controlPr defaultSize="0" autoFill="0" autoLine="0" autoPict="0">
                <anchor moveWithCells="1">
                  <from>
                    <xdr:col>3</xdr:col>
                    <xdr:colOff>5118100</xdr:colOff>
                    <xdr:row>11</xdr:row>
                    <xdr:rowOff>12700</xdr:rowOff>
                  </from>
                  <to>
                    <xdr:col>3</xdr:col>
                    <xdr:colOff>6248400</xdr:colOff>
                    <xdr:row>11</xdr:row>
                    <xdr:rowOff>266700</xdr:rowOff>
                  </to>
                </anchor>
              </controlPr>
            </control>
          </mc:Choice>
        </mc:AlternateContent>
        <mc:AlternateContent xmlns:mc="http://schemas.openxmlformats.org/markup-compatibility/2006">
          <mc:Choice Requires="x14">
            <control shapeId="9403" r:id="rId136" name="Check Box 187">
              <controlPr defaultSize="0" autoFill="0" autoLine="0" autoPict="0">
                <anchor moveWithCells="1">
                  <from>
                    <xdr:col>3</xdr:col>
                    <xdr:colOff>76200</xdr:colOff>
                    <xdr:row>11</xdr:row>
                    <xdr:rowOff>228600</xdr:rowOff>
                  </from>
                  <to>
                    <xdr:col>3</xdr:col>
                    <xdr:colOff>1879600</xdr:colOff>
                    <xdr:row>11</xdr:row>
                    <xdr:rowOff>457200</xdr:rowOff>
                  </to>
                </anchor>
              </controlPr>
            </control>
          </mc:Choice>
        </mc:AlternateContent>
        <mc:AlternateContent xmlns:mc="http://schemas.openxmlformats.org/markup-compatibility/2006">
          <mc:Choice Requires="x14">
            <control shapeId="9404" r:id="rId137" name="Check Box 188">
              <controlPr defaultSize="0" autoFill="0" autoLine="0" autoPict="0">
                <anchor moveWithCells="1">
                  <from>
                    <xdr:col>3</xdr:col>
                    <xdr:colOff>952500</xdr:colOff>
                    <xdr:row>11</xdr:row>
                    <xdr:rowOff>12700</xdr:rowOff>
                  </from>
                  <to>
                    <xdr:col>3</xdr:col>
                    <xdr:colOff>1689100</xdr:colOff>
                    <xdr:row>11</xdr:row>
                    <xdr:rowOff>266700</xdr:rowOff>
                  </to>
                </anchor>
              </controlPr>
            </control>
          </mc:Choice>
        </mc:AlternateContent>
        <mc:AlternateContent xmlns:mc="http://schemas.openxmlformats.org/markup-compatibility/2006">
          <mc:Choice Requires="x14">
            <control shapeId="9409" r:id="rId138" name="Check Box 193">
              <controlPr defaultSize="0" autoFill="0" autoLine="0" autoPict="0">
                <anchor moveWithCells="1">
                  <from>
                    <xdr:col>4</xdr:col>
                    <xdr:colOff>0</xdr:colOff>
                    <xdr:row>85</xdr:row>
                    <xdr:rowOff>0</xdr:rowOff>
                  </from>
                  <to>
                    <xdr:col>4</xdr:col>
                    <xdr:colOff>660400</xdr:colOff>
                    <xdr:row>85</xdr:row>
                    <xdr:rowOff>381000</xdr:rowOff>
                  </to>
                </anchor>
              </controlPr>
            </control>
          </mc:Choice>
        </mc:AlternateContent>
        <mc:AlternateContent xmlns:mc="http://schemas.openxmlformats.org/markup-compatibility/2006">
          <mc:Choice Requires="x14">
            <control shapeId="9410" r:id="rId139" name="Check Box 194">
              <controlPr defaultSize="0" autoFill="0" autoLine="0" autoPict="0">
                <anchor moveWithCells="1">
                  <from>
                    <xdr:col>5</xdr:col>
                    <xdr:colOff>0</xdr:colOff>
                    <xdr:row>85</xdr:row>
                    <xdr:rowOff>0</xdr:rowOff>
                  </from>
                  <to>
                    <xdr:col>6</xdr:col>
                    <xdr:colOff>0</xdr:colOff>
                    <xdr:row>85</xdr:row>
                    <xdr:rowOff>381000</xdr:rowOff>
                  </to>
                </anchor>
              </controlPr>
            </control>
          </mc:Choice>
        </mc:AlternateContent>
        <mc:AlternateContent xmlns:mc="http://schemas.openxmlformats.org/markup-compatibility/2006">
          <mc:Choice Requires="x14">
            <control shapeId="9411" r:id="rId140" name="Check Box 195">
              <controlPr defaultSize="0" autoFill="0" autoLine="0" autoPict="0">
                <anchor moveWithCells="1">
                  <from>
                    <xdr:col>6</xdr:col>
                    <xdr:colOff>0</xdr:colOff>
                    <xdr:row>85</xdr:row>
                    <xdr:rowOff>0</xdr:rowOff>
                  </from>
                  <to>
                    <xdr:col>6</xdr:col>
                    <xdr:colOff>622300</xdr:colOff>
                    <xdr:row>86</xdr:row>
                    <xdr:rowOff>12700</xdr:rowOff>
                  </to>
                </anchor>
              </controlPr>
            </control>
          </mc:Choice>
        </mc:AlternateContent>
        <mc:AlternateContent xmlns:mc="http://schemas.openxmlformats.org/markup-compatibility/2006">
          <mc:Choice Requires="x14">
            <control shapeId="9412" r:id="rId141" name="Check Box 196">
              <controlPr defaultSize="0" autoFill="0" autoLine="0" autoPict="0">
                <anchor moveWithCells="1">
                  <from>
                    <xdr:col>4</xdr:col>
                    <xdr:colOff>0</xdr:colOff>
                    <xdr:row>86</xdr:row>
                    <xdr:rowOff>0</xdr:rowOff>
                  </from>
                  <to>
                    <xdr:col>4</xdr:col>
                    <xdr:colOff>647700</xdr:colOff>
                    <xdr:row>87</xdr:row>
                    <xdr:rowOff>12700</xdr:rowOff>
                  </to>
                </anchor>
              </controlPr>
            </control>
          </mc:Choice>
        </mc:AlternateContent>
        <mc:AlternateContent xmlns:mc="http://schemas.openxmlformats.org/markup-compatibility/2006">
          <mc:Choice Requires="x14">
            <control shapeId="9413" r:id="rId142" name="Check Box 197">
              <controlPr defaultSize="0" autoFill="0" autoLine="0" autoPict="0">
                <anchor moveWithCells="1">
                  <from>
                    <xdr:col>5</xdr:col>
                    <xdr:colOff>0</xdr:colOff>
                    <xdr:row>86</xdr:row>
                    <xdr:rowOff>0</xdr:rowOff>
                  </from>
                  <to>
                    <xdr:col>5</xdr:col>
                    <xdr:colOff>622300</xdr:colOff>
                    <xdr:row>87</xdr:row>
                    <xdr:rowOff>12700</xdr:rowOff>
                  </to>
                </anchor>
              </controlPr>
            </control>
          </mc:Choice>
        </mc:AlternateContent>
        <mc:AlternateContent xmlns:mc="http://schemas.openxmlformats.org/markup-compatibility/2006">
          <mc:Choice Requires="x14">
            <control shapeId="9414" r:id="rId143" name="Check Box 198">
              <controlPr defaultSize="0" autoFill="0" autoLine="0" autoPict="0">
                <anchor moveWithCells="1">
                  <from>
                    <xdr:col>6</xdr:col>
                    <xdr:colOff>0</xdr:colOff>
                    <xdr:row>86</xdr:row>
                    <xdr:rowOff>0</xdr:rowOff>
                  </from>
                  <to>
                    <xdr:col>7</xdr:col>
                    <xdr:colOff>38100</xdr:colOff>
                    <xdr:row>86</xdr:row>
                    <xdr:rowOff>381000</xdr:rowOff>
                  </to>
                </anchor>
              </controlPr>
            </control>
          </mc:Choice>
        </mc:AlternateContent>
        <mc:AlternateContent xmlns:mc="http://schemas.openxmlformats.org/markup-compatibility/2006">
          <mc:Choice Requires="x14">
            <control shapeId="9415" r:id="rId144" name="Check Box 199">
              <controlPr defaultSize="0" autoFill="0" autoLine="0" autoPict="0">
                <anchor moveWithCells="1">
                  <from>
                    <xdr:col>4</xdr:col>
                    <xdr:colOff>0</xdr:colOff>
                    <xdr:row>87</xdr:row>
                    <xdr:rowOff>0</xdr:rowOff>
                  </from>
                  <to>
                    <xdr:col>4</xdr:col>
                    <xdr:colOff>647700</xdr:colOff>
                    <xdr:row>88</xdr:row>
                    <xdr:rowOff>12700</xdr:rowOff>
                  </to>
                </anchor>
              </controlPr>
            </control>
          </mc:Choice>
        </mc:AlternateContent>
        <mc:AlternateContent xmlns:mc="http://schemas.openxmlformats.org/markup-compatibility/2006">
          <mc:Choice Requires="x14">
            <control shapeId="9416" r:id="rId145" name="Check Box 200">
              <controlPr defaultSize="0" autoFill="0" autoLine="0" autoPict="0">
                <anchor moveWithCells="1">
                  <from>
                    <xdr:col>5</xdr:col>
                    <xdr:colOff>0</xdr:colOff>
                    <xdr:row>87</xdr:row>
                    <xdr:rowOff>0</xdr:rowOff>
                  </from>
                  <to>
                    <xdr:col>5</xdr:col>
                    <xdr:colOff>622300</xdr:colOff>
                    <xdr:row>88</xdr:row>
                    <xdr:rowOff>12700</xdr:rowOff>
                  </to>
                </anchor>
              </controlPr>
            </control>
          </mc:Choice>
        </mc:AlternateContent>
        <mc:AlternateContent xmlns:mc="http://schemas.openxmlformats.org/markup-compatibility/2006">
          <mc:Choice Requires="x14">
            <control shapeId="9417" r:id="rId146" name="Check Box 201">
              <controlPr defaultSize="0" autoFill="0" autoLine="0" autoPict="0">
                <anchor moveWithCells="1">
                  <from>
                    <xdr:col>6</xdr:col>
                    <xdr:colOff>0</xdr:colOff>
                    <xdr:row>87</xdr:row>
                    <xdr:rowOff>0</xdr:rowOff>
                  </from>
                  <to>
                    <xdr:col>7</xdr:col>
                    <xdr:colOff>38100</xdr:colOff>
                    <xdr:row>87</xdr:row>
                    <xdr:rowOff>381000</xdr:rowOff>
                  </to>
                </anchor>
              </controlPr>
            </control>
          </mc:Choice>
        </mc:AlternateContent>
        <mc:AlternateContent xmlns:mc="http://schemas.openxmlformats.org/markup-compatibility/2006">
          <mc:Choice Requires="x14">
            <control shapeId="9418" r:id="rId147" name="Check Box 202">
              <controlPr defaultSize="0" autoFill="0" autoLine="0" autoPict="0">
                <anchor moveWithCells="1">
                  <from>
                    <xdr:col>4</xdr:col>
                    <xdr:colOff>0</xdr:colOff>
                    <xdr:row>89</xdr:row>
                    <xdr:rowOff>0</xdr:rowOff>
                  </from>
                  <to>
                    <xdr:col>4</xdr:col>
                    <xdr:colOff>647700</xdr:colOff>
                    <xdr:row>90</xdr:row>
                    <xdr:rowOff>12700</xdr:rowOff>
                  </to>
                </anchor>
              </controlPr>
            </control>
          </mc:Choice>
        </mc:AlternateContent>
        <mc:AlternateContent xmlns:mc="http://schemas.openxmlformats.org/markup-compatibility/2006">
          <mc:Choice Requires="x14">
            <control shapeId="9419" r:id="rId148" name="Check Box 203">
              <controlPr defaultSize="0" autoFill="0" autoLine="0" autoPict="0">
                <anchor moveWithCells="1">
                  <from>
                    <xdr:col>5</xdr:col>
                    <xdr:colOff>0</xdr:colOff>
                    <xdr:row>89</xdr:row>
                    <xdr:rowOff>0</xdr:rowOff>
                  </from>
                  <to>
                    <xdr:col>5</xdr:col>
                    <xdr:colOff>622300</xdr:colOff>
                    <xdr:row>90</xdr:row>
                    <xdr:rowOff>12700</xdr:rowOff>
                  </to>
                </anchor>
              </controlPr>
            </control>
          </mc:Choice>
        </mc:AlternateContent>
        <mc:AlternateContent xmlns:mc="http://schemas.openxmlformats.org/markup-compatibility/2006">
          <mc:Choice Requires="x14">
            <control shapeId="9420" r:id="rId149" name="Check Box 204">
              <controlPr defaultSize="0" autoFill="0" autoLine="0" autoPict="0">
                <anchor moveWithCells="1">
                  <from>
                    <xdr:col>6</xdr:col>
                    <xdr:colOff>0</xdr:colOff>
                    <xdr:row>89</xdr:row>
                    <xdr:rowOff>0</xdr:rowOff>
                  </from>
                  <to>
                    <xdr:col>7</xdr:col>
                    <xdr:colOff>38100</xdr:colOff>
                    <xdr:row>89</xdr:row>
                    <xdr:rowOff>381000</xdr:rowOff>
                  </to>
                </anchor>
              </controlPr>
            </control>
          </mc:Choice>
        </mc:AlternateContent>
        <mc:AlternateContent xmlns:mc="http://schemas.openxmlformats.org/markup-compatibility/2006">
          <mc:Choice Requires="x14">
            <control shapeId="9421" r:id="rId150" name="Check Box 205">
              <controlPr defaultSize="0" autoFill="0" autoLine="0" autoPict="0">
                <anchor moveWithCells="1">
                  <from>
                    <xdr:col>4</xdr:col>
                    <xdr:colOff>0</xdr:colOff>
                    <xdr:row>90</xdr:row>
                    <xdr:rowOff>0</xdr:rowOff>
                  </from>
                  <to>
                    <xdr:col>4</xdr:col>
                    <xdr:colOff>647700</xdr:colOff>
                    <xdr:row>91</xdr:row>
                    <xdr:rowOff>12700</xdr:rowOff>
                  </to>
                </anchor>
              </controlPr>
            </control>
          </mc:Choice>
        </mc:AlternateContent>
        <mc:AlternateContent xmlns:mc="http://schemas.openxmlformats.org/markup-compatibility/2006">
          <mc:Choice Requires="x14">
            <control shapeId="9422" r:id="rId151" name="Check Box 206">
              <controlPr defaultSize="0" autoFill="0" autoLine="0" autoPict="0">
                <anchor moveWithCells="1">
                  <from>
                    <xdr:col>5</xdr:col>
                    <xdr:colOff>0</xdr:colOff>
                    <xdr:row>90</xdr:row>
                    <xdr:rowOff>0</xdr:rowOff>
                  </from>
                  <to>
                    <xdr:col>5</xdr:col>
                    <xdr:colOff>622300</xdr:colOff>
                    <xdr:row>91</xdr:row>
                    <xdr:rowOff>12700</xdr:rowOff>
                  </to>
                </anchor>
              </controlPr>
            </control>
          </mc:Choice>
        </mc:AlternateContent>
        <mc:AlternateContent xmlns:mc="http://schemas.openxmlformats.org/markup-compatibility/2006">
          <mc:Choice Requires="x14">
            <control shapeId="9423" r:id="rId152" name="Check Box 207">
              <controlPr defaultSize="0" autoFill="0" autoLine="0" autoPict="0">
                <anchor moveWithCells="1">
                  <from>
                    <xdr:col>6</xdr:col>
                    <xdr:colOff>0</xdr:colOff>
                    <xdr:row>90</xdr:row>
                    <xdr:rowOff>0</xdr:rowOff>
                  </from>
                  <to>
                    <xdr:col>7</xdr:col>
                    <xdr:colOff>38100</xdr:colOff>
                    <xdr:row>90</xdr:row>
                    <xdr:rowOff>381000</xdr:rowOff>
                  </to>
                </anchor>
              </controlPr>
            </control>
          </mc:Choice>
        </mc:AlternateContent>
        <mc:AlternateContent xmlns:mc="http://schemas.openxmlformats.org/markup-compatibility/2006">
          <mc:Choice Requires="x14">
            <control shapeId="9322" r:id="rId153" name="Check Box 106">
              <controlPr defaultSize="0" autoFill="0" autoLine="0" autoPict="0">
                <anchor moveWithCells="1">
                  <from>
                    <xdr:col>4</xdr:col>
                    <xdr:colOff>0</xdr:colOff>
                    <xdr:row>64</xdr:row>
                    <xdr:rowOff>0</xdr:rowOff>
                  </from>
                  <to>
                    <xdr:col>5</xdr:col>
                    <xdr:colOff>0</xdr:colOff>
                    <xdr:row>65</xdr:row>
                    <xdr:rowOff>0</xdr:rowOff>
                  </to>
                </anchor>
              </controlPr>
            </control>
          </mc:Choice>
        </mc:AlternateContent>
        <mc:AlternateContent xmlns:mc="http://schemas.openxmlformats.org/markup-compatibility/2006">
          <mc:Choice Requires="x14">
            <control shapeId="9323" r:id="rId154" name="Check Box 107">
              <controlPr defaultSize="0" autoFill="0" autoLine="0" autoPict="0">
                <anchor moveWithCells="1">
                  <from>
                    <xdr:col>5</xdr:col>
                    <xdr:colOff>0</xdr:colOff>
                    <xdr:row>64</xdr:row>
                    <xdr:rowOff>0</xdr:rowOff>
                  </from>
                  <to>
                    <xdr:col>6</xdr:col>
                    <xdr:colOff>0</xdr:colOff>
                    <xdr:row>65</xdr:row>
                    <xdr:rowOff>0</xdr:rowOff>
                  </to>
                </anchor>
              </controlPr>
            </control>
          </mc:Choice>
        </mc:AlternateContent>
        <mc:AlternateContent xmlns:mc="http://schemas.openxmlformats.org/markup-compatibility/2006">
          <mc:Choice Requires="x14">
            <control shapeId="9324" r:id="rId155" name="Check Box 108">
              <controlPr defaultSize="0" autoFill="0" autoLine="0" autoPict="0">
                <anchor moveWithCells="1">
                  <from>
                    <xdr:col>6</xdr:col>
                    <xdr:colOff>0</xdr:colOff>
                    <xdr:row>64</xdr:row>
                    <xdr:rowOff>0</xdr:rowOff>
                  </from>
                  <to>
                    <xdr:col>7</xdr:col>
                    <xdr:colOff>0</xdr:colOff>
                    <xdr:row>65</xdr:row>
                    <xdr:rowOff>0</xdr:rowOff>
                  </to>
                </anchor>
              </controlPr>
            </control>
          </mc:Choice>
        </mc:AlternateContent>
        <mc:AlternateContent xmlns:mc="http://schemas.openxmlformats.org/markup-compatibility/2006">
          <mc:Choice Requires="x14">
            <control shapeId="9448" r:id="rId156" name="Check Box 232">
              <controlPr defaultSize="0" autoFill="0" autoLine="0" autoPict="0">
                <anchor moveWithCells="1">
                  <from>
                    <xdr:col>4</xdr:col>
                    <xdr:colOff>38100</xdr:colOff>
                    <xdr:row>79</xdr:row>
                    <xdr:rowOff>1066800</xdr:rowOff>
                  </from>
                  <to>
                    <xdr:col>5</xdr:col>
                    <xdr:colOff>139700</xdr:colOff>
                    <xdr:row>79</xdr:row>
                    <xdr:rowOff>1295400</xdr:rowOff>
                  </to>
                </anchor>
              </controlPr>
            </control>
          </mc:Choice>
        </mc:AlternateContent>
        <mc:AlternateContent xmlns:mc="http://schemas.openxmlformats.org/markup-compatibility/2006">
          <mc:Choice Requires="x14">
            <control shapeId="9449" r:id="rId157" name="Check Box 233">
              <controlPr defaultSize="0" autoFill="0" autoLine="0" autoPict="0">
                <anchor moveWithCells="1">
                  <from>
                    <xdr:col>5</xdr:col>
                    <xdr:colOff>38100</xdr:colOff>
                    <xdr:row>79</xdr:row>
                    <xdr:rowOff>1066800</xdr:rowOff>
                  </from>
                  <to>
                    <xdr:col>5</xdr:col>
                    <xdr:colOff>647700</xdr:colOff>
                    <xdr:row>79</xdr:row>
                    <xdr:rowOff>1308100</xdr:rowOff>
                  </to>
                </anchor>
              </controlPr>
            </control>
          </mc:Choice>
        </mc:AlternateContent>
        <mc:AlternateContent xmlns:mc="http://schemas.openxmlformats.org/markup-compatibility/2006">
          <mc:Choice Requires="x14">
            <control shapeId="9450" r:id="rId158" name="Check Box 234">
              <controlPr defaultSize="0" autoFill="0" autoLine="0" autoPict="0">
                <anchor moveWithCells="1">
                  <from>
                    <xdr:col>4</xdr:col>
                    <xdr:colOff>12700</xdr:colOff>
                    <xdr:row>88</xdr:row>
                    <xdr:rowOff>88900</xdr:rowOff>
                  </from>
                  <to>
                    <xdr:col>4</xdr:col>
                    <xdr:colOff>660400</xdr:colOff>
                    <xdr:row>88</xdr:row>
                    <xdr:rowOff>330200</xdr:rowOff>
                  </to>
                </anchor>
              </controlPr>
            </control>
          </mc:Choice>
        </mc:AlternateContent>
        <mc:AlternateContent xmlns:mc="http://schemas.openxmlformats.org/markup-compatibility/2006">
          <mc:Choice Requires="x14">
            <control shapeId="9451" r:id="rId159" name="Check Box 235">
              <controlPr defaultSize="0" autoFill="0" autoLine="0" autoPict="0">
                <anchor moveWithCells="1">
                  <from>
                    <xdr:col>4</xdr:col>
                    <xdr:colOff>673100</xdr:colOff>
                    <xdr:row>88</xdr:row>
                    <xdr:rowOff>76200</xdr:rowOff>
                  </from>
                  <to>
                    <xdr:col>5</xdr:col>
                    <xdr:colOff>609600</xdr:colOff>
                    <xdr:row>88</xdr:row>
                    <xdr:rowOff>317500</xdr:rowOff>
                  </to>
                </anchor>
              </controlPr>
            </control>
          </mc:Choice>
        </mc:AlternateContent>
        <mc:AlternateContent xmlns:mc="http://schemas.openxmlformats.org/markup-compatibility/2006">
          <mc:Choice Requires="x14">
            <control shapeId="9452" r:id="rId160" name="Check Box 236">
              <controlPr defaultSize="0" autoFill="0" autoLine="0" autoPict="0">
                <anchor moveWithCells="1">
                  <from>
                    <xdr:col>6</xdr:col>
                    <xdr:colOff>25400</xdr:colOff>
                    <xdr:row>88</xdr:row>
                    <xdr:rowOff>76200</xdr:rowOff>
                  </from>
                  <to>
                    <xdr:col>6</xdr:col>
                    <xdr:colOff>685800</xdr:colOff>
                    <xdr:row>88</xdr:row>
                    <xdr:rowOff>317500</xdr:rowOff>
                  </to>
                </anchor>
              </controlPr>
            </control>
          </mc:Choice>
        </mc:AlternateContent>
        <mc:AlternateContent xmlns:mc="http://schemas.openxmlformats.org/markup-compatibility/2006">
          <mc:Choice Requires="x14">
            <control shapeId="9453" r:id="rId161" name="Check Box 237">
              <controlPr defaultSize="0" autoFill="0" autoLine="0" autoPict="0">
                <anchor moveWithCells="1">
                  <from>
                    <xdr:col>4</xdr:col>
                    <xdr:colOff>0</xdr:colOff>
                    <xdr:row>77</xdr:row>
                    <xdr:rowOff>25400</xdr:rowOff>
                  </from>
                  <to>
                    <xdr:col>4</xdr:col>
                    <xdr:colOff>647700</xdr:colOff>
                    <xdr:row>78</xdr:row>
                    <xdr:rowOff>25400</xdr:rowOff>
                  </to>
                </anchor>
              </controlPr>
            </control>
          </mc:Choice>
        </mc:AlternateContent>
        <mc:AlternateContent xmlns:mc="http://schemas.openxmlformats.org/markup-compatibility/2006">
          <mc:Choice Requires="x14">
            <control shapeId="9454" r:id="rId162" name="Check Box 238">
              <controlPr defaultSize="0" autoFill="0" autoLine="0" autoPict="0">
                <anchor moveWithCells="1">
                  <from>
                    <xdr:col>5</xdr:col>
                    <xdr:colOff>12700</xdr:colOff>
                    <xdr:row>77</xdr:row>
                    <xdr:rowOff>12700</xdr:rowOff>
                  </from>
                  <to>
                    <xdr:col>5</xdr:col>
                    <xdr:colOff>673100</xdr:colOff>
                    <xdr:row>78</xdr:row>
                    <xdr:rowOff>25400</xdr:rowOff>
                  </to>
                </anchor>
              </controlPr>
            </control>
          </mc:Choice>
        </mc:AlternateContent>
        <mc:AlternateContent xmlns:mc="http://schemas.openxmlformats.org/markup-compatibility/2006">
          <mc:Choice Requires="x14">
            <control shapeId="9455" r:id="rId163" name="Check Box 239">
              <controlPr defaultSize="0" autoFill="0" autoLine="0" autoPict="0">
                <anchor moveWithCells="1">
                  <from>
                    <xdr:col>6</xdr:col>
                    <xdr:colOff>25400</xdr:colOff>
                    <xdr:row>79</xdr:row>
                    <xdr:rowOff>1066800</xdr:rowOff>
                  </from>
                  <to>
                    <xdr:col>6</xdr:col>
                    <xdr:colOff>673100</xdr:colOff>
                    <xdr:row>79</xdr:row>
                    <xdr:rowOff>1308100</xdr:rowOff>
                  </to>
                </anchor>
              </controlPr>
            </control>
          </mc:Choice>
        </mc:AlternateContent>
        <mc:AlternateContent xmlns:mc="http://schemas.openxmlformats.org/markup-compatibility/2006">
          <mc:Choice Requires="x14">
            <control shapeId="9456" r:id="rId164" name="Check Box 240">
              <controlPr defaultSize="0" autoFill="0" autoLine="0" autoPict="0">
                <anchor moveWithCells="1">
                  <from>
                    <xdr:col>6</xdr:col>
                    <xdr:colOff>12700</xdr:colOff>
                    <xdr:row>77</xdr:row>
                    <xdr:rowOff>12700</xdr:rowOff>
                  </from>
                  <to>
                    <xdr:col>7</xdr:col>
                    <xdr:colOff>25400</xdr:colOff>
                    <xdr:row>78</xdr:row>
                    <xdr:rowOff>12700</xdr:rowOff>
                  </to>
                </anchor>
              </controlPr>
            </control>
          </mc:Choice>
        </mc:AlternateContent>
        <mc:AlternateContent xmlns:mc="http://schemas.openxmlformats.org/markup-compatibility/2006">
          <mc:Choice Requires="x14">
            <control shapeId="9457" r:id="rId165" name="Check Box 241">
              <controlPr defaultSize="0" autoFill="0" autoLine="0" autoPict="0">
                <anchor moveWithCells="1">
                  <from>
                    <xdr:col>4</xdr:col>
                    <xdr:colOff>38100</xdr:colOff>
                    <xdr:row>65</xdr:row>
                    <xdr:rowOff>228600</xdr:rowOff>
                  </from>
                  <to>
                    <xdr:col>4</xdr:col>
                    <xdr:colOff>647700</xdr:colOff>
                    <xdr:row>65</xdr:row>
                    <xdr:rowOff>469900</xdr:rowOff>
                  </to>
                </anchor>
              </controlPr>
            </control>
          </mc:Choice>
        </mc:AlternateContent>
        <mc:AlternateContent xmlns:mc="http://schemas.openxmlformats.org/markup-compatibility/2006">
          <mc:Choice Requires="x14">
            <control shapeId="9458" r:id="rId166" name="Check Box 242">
              <controlPr defaultSize="0" autoFill="0" autoLine="0" autoPict="0">
                <anchor moveWithCells="1">
                  <from>
                    <xdr:col>4</xdr:col>
                    <xdr:colOff>50800</xdr:colOff>
                    <xdr:row>68</xdr:row>
                    <xdr:rowOff>254000</xdr:rowOff>
                  </from>
                  <to>
                    <xdr:col>4</xdr:col>
                    <xdr:colOff>660400</xdr:colOff>
                    <xdr:row>68</xdr:row>
                    <xdr:rowOff>495300</xdr:rowOff>
                  </to>
                </anchor>
              </controlPr>
            </control>
          </mc:Choice>
        </mc:AlternateContent>
        <mc:AlternateContent xmlns:mc="http://schemas.openxmlformats.org/markup-compatibility/2006">
          <mc:Choice Requires="x14">
            <control shapeId="9459" r:id="rId167" name="Check Box 243">
              <controlPr defaultSize="0" autoFill="0" autoLine="0" autoPict="0">
                <anchor moveWithCells="1">
                  <from>
                    <xdr:col>4</xdr:col>
                    <xdr:colOff>76200</xdr:colOff>
                    <xdr:row>69</xdr:row>
                    <xdr:rowOff>215900</xdr:rowOff>
                  </from>
                  <to>
                    <xdr:col>4</xdr:col>
                    <xdr:colOff>660400</xdr:colOff>
                    <xdr:row>69</xdr:row>
                    <xdr:rowOff>457200</xdr:rowOff>
                  </to>
                </anchor>
              </controlPr>
            </control>
          </mc:Choice>
        </mc:AlternateContent>
        <mc:AlternateContent xmlns:mc="http://schemas.openxmlformats.org/markup-compatibility/2006">
          <mc:Choice Requires="x14">
            <control shapeId="9460" r:id="rId168" name="Check Box 244">
              <controlPr defaultSize="0" autoFill="0" autoLine="0" autoPict="0">
                <anchor moveWithCells="1">
                  <from>
                    <xdr:col>5</xdr:col>
                    <xdr:colOff>38100</xdr:colOff>
                    <xdr:row>65</xdr:row>
                    <xdr:rowOff>228600</xdr:rowOff>
                  </from>
                  <to>
                    <xdr:col>5</xdr:col>
                    <xdr:colOff>660400</xdr:colOff>
                    <xdr:row>65</xdr:row>
                    <xdr:rowOff>469900</xdr:rowOff>
                  </to>
                </anchor>
              </controlPr>
            </control>
          </mc:Choice>
        </mc:AlternateContent>
        <mc:AlternateContent xmlns:mc="http://schemas.openxmlformats.org/markup-compatibility/2006">
          <mc:Choice Requires="x14">
            <control shapeId="9461" r:id="rId169" name="Check Box 245">
              <controlPr defaultSize="0" autoFill="0" autoLine="0" autoPict="0">
                <anchor moveWithCells="1">
                  <from>
                    <xdr:col>5</xdr:col>
                    <xdr:colOff>76200</xdr:colOff>
                    <xdr:row>68</xdr:row>
                    <xdr:rowOff>241300</xdr:rowOff>
                  </from>
                  <to>
                    <xdr:col>6</xdr:col>
                    <xdr:colOff>0</xdr:colOff>
                    <xdr:row>68</xdr:row>
                    <xdr:rowOff>482600</xdr:rowOff>
                  </to>
                </anchor>
              </controlPr>
            </control>
          </mc:Choice>
        </mc:AlternateContent>
        <mc:AlternateContent xmlns:mc="http://schemas.openxmlformats.org/markup-compatibility/2006">
          <mc:Choice Requires="x14">
            <control shapeId="9462" r:id="rId170" name="Check Box 246">
              <controlPr defaultSize="0" autoFill="0" autoLine="0" autoPict="0">
                <anchor moveWithCells="1">
                  <from>
                    <xdr:col>5</xdr:col>
                    <xdr:colOff>76200</xdr:colOff>
                    <xdr:row>69</xdr:row>
                    <xdr:rowOff>190500</xdr:rowOff>
                  </from>
                  <to>
                    <xdr:col>6</xdr:col>
                    <xdr:colOff>190500</xdr:colOff>
                    <xdr:row>69</xdr:row>
                    <xdr:rowOff>444500</xdr:rowOff>
                  </to>
                </anchor>
              </controlPr>
            </control>
          </mc:Choice>
        </mc:AlternateContent>
        <mc:AlternateContent xmlns:mc="http://schemas.openxmlformats.org/markup-compatibility/2006">
          <mc:Choice Requires="x14">
            <control shapeId="9463" r:id="rId171" name="Check Box 247">
              <controlPr defaultSize="0" autoFill="0" autoLine="0" autoPict="0">
                <anchor moveWithCells="1">
                  <from>
                    <xdr:col>6</xdr:col>
                    <xdr:colOff>50800</xdr:colOff>
                    <xdr:row>65</xdr:row>
                    <xdr:rowOff>215900</xdr:rowOff>
                  </from>
                  <to>
                    <xdr:col>7</xdr:col>
                    <xdr:colOff>12700</xdr:colOff>
                    <xdr:row>65</xdr:row>
                    <xdr:rowOff>457200</xdr:rowOff>
                  </to>
                </anchor>
              </controlPr>
            </control>
          </mc:Choice>
        </mc:AlternateContent>
        <mc:AlternateContent xmlns:mc="http://schemas.openxmlformats.org/markup-compatibility/2006">
          <mc:Choice Requires="x14">
            <control shapeId="9464" r:id="rId172" name="Check Box 248">
              <controlPr defaultSize="0" autoFill="0" autoLine="0" autoPict="0">
                <anchor moveWithCells="1">
                  <from>
                    <xdr:col>6</xdr:col>
                    <xdr:colOff>63500</xdr:colOff>
                    <xdr:row>68</xdr:row>
                    <xdr:rowOff>254000</xdr:rowOff>
                  </from>
                  <to>
                    <xdr:col>6</xdr:col>
                    <xdr:colOff>660400</xdr:colOff>
                    <xdr:row>68</xdr:row>
                    <xdr:rowOff>495300</xdr:rowOff>
                  </to>
                </anchor>
              </controlPr>
            </control>
          </mc:Choice>
        </mc:AlternateContent>
        <mc:AlternateContent xmlns:mc="http://schemas.openxmlformats.org/markup-compatibility/2006">
          <mc:Choice Requires="x14">
            <control shapeId="9465" r:id="rId173" name="Check Box 249">
              <controlPr defaultSize="0" autoFill="0" autoLine="0" autoPict="0">
                <anchor moveWithCells="1">
                  <from>
                    <xdr:col>6</xdr:col>
                    <xdr:colOff>38100</xdr:colOff>
                    <xdr:row>69</xdr:row>
                    <xdr:rowOff>215900</xdr:rowOff>
                  </from>
                  <to>
                    <xdr:col>6</xdr:col>
                    <xdr:colOff>622300</xdr:colOff>
                    <xdr:row>69</xdr:row>
                    <xdr:rowOff>457200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FDAA8-E10F-4381-B5CD-A8CDA5BA62EE}">
  <sheetPr>
    <tabColor theme="9" tint="0.59999389629810485"/>
    <pageSetUpPr fitToPage="1"/>
  </sheetPr>
  <dimension ref="A1:E78"/>
  <sheetViews>
    <sheetView tabSelected="1" zoomScale="115" zoomScaleNormal="115" workbookViewId="0">
      <selection activeCell="D15" sqref="D15"/>
    </sheetView>
  </sheetViews>
  <sheetFormatPr baseColWidth="10" defaultColWidth="8.1640625" defaultRowHeight="18"/>
  <cols>
    <col min="1" max="1" width="4.83203125" customWidth="1"/>
    <col min="2" max="2" width="17.33203125" customWidth="1"/>
    <col min="3" max="3" width="13.1640625" customWidth="1"/>
    <col min="4" max="4" width="22.6640625" customWidth="1"/>
    <col min="5" max="5" width="61.1640625" customWidth="1"/>
  </cols>
  <sheetData>
    <row r="1" spans="1:5" ht="31">
      <c r="A1" s="42" t="s">
        <v>153</v>
      </c>
      <c r="E1" s="2"/>
    </row>
    <row r="2" spans="1:5">
      <c r="E2" s="43"/>
    </row>
    <row r="3" spans="1:5">
      <c r="A3" s="44" t="s">
        <v>154</v>
      </c>
      <c r="E3" s="45"/>
    </row>
    <row r="4" spans="1:5">
      <c r="E4" s="45"/>
    </row>
    <row r="5" spans="1:5" ht="20">
      <c r="A5" s="46" t="s">
        <v>155</v>
      </c>
    </row>
    <row r="7" spans="1:5" ht="30" customHeight="1">
      <c r="B7" t="s">
        <v>156</v>
      </c>
    </row>
    <row r="8" spans="1:5" ht="22.5" customHeight="1" thickBot="1">
      <c r="B8" s="294" t="s">
        <v>157</v>
      </c>
      <c r="C8" s="295"/>
      <c r="D8" s="47" t="s">
        <v>158</v>
      </c>
    </row>
    <row r="9" spans="1:5" ht="22.5" customHeight="1" thickBot="1">
      <c r="B9" s="48" t="s">
        <v>159</v>
      </c>
      <c r="C9" s="49"/>
      <c r="D9" s="50" t="s">
        <v>388</v>
      </c>
    </row>
    <row r="10" spans="1:5" ht="22.5" customHeight="1" thickBot="1">
      <c r="B10" s="51" t="s">
        <v>160</v>
      </c>
      <c r="C10" s="49"/>
      <c r="D10" s="50" t="s">
        <v>389</v>
      </c>
    </row>
    <row r="11" spans="1:5" ht="22.5" customHeight="1" thickBot="1">
      <c r="B11" s="52"/>
      <c r="C11" s="49" t="s">
        <v>161</v>
      </c>
      <c r="D11" s="50" t="s">
        <v>390</v>
      </c>
    </row>
    <row r="12" spans="1:5" ht="22.5" customHeight="1" thickBot="1">
      <c r="B12" s="53" t="s">
        <v>162</v>
      </c>
      <c r="C12" s="49" t="s">
        <v>163</v>
      </c>
      <c r="D12" s="50" t="s">
        <v>391</v>
      </c>
    </row>
    <row r="13" spans="1:5" ht="35.25" customHeight="1" thickBot="1">
      <c r="B13" s="54"/>
      <c r="C13" s="49" t="s">
        <v>164</v>
      </c>
      <c r="D13" s="50" t="s">
        <v>392</v>
      </c>
    </row>
    <row r="14" spans="1:5" ht="35.25" customHeight="1" thickBot="1">
      <c r="B14" s="55" t="s">
        <v>165</v>
      </c>
      <c r="C14" s="49"/>
      <c r="D14" s="219">
        <v>46181</v>
      </c>
    </row>
    <row r="15" spans="1:5" ht="22.5" customHeight="1" thickBot="1">
      <c r="B15" s="284" t="s">
        <v>166</v>
      </c>
      <c r="C15" s="48" t="s">
        <v>167</v>
      </c>
      <c r="D15" s="50" t="s">
        <v>393</v>
      </c>
    </row>
    <row r="16" spans="1:5" ht="22.5" customHeight="1" thickBot="1">
      <c r="B16" s="284"/>
      <c r="C16" s="48" t="s">
        <v>168</v>
      </c>
      <c r="D16" s="50" t="s">
        <v>394</v>
      </c>
    </row>
    <row r="17" spans="1:5" ht="22.5" customHeight="1" thickBot="1">
      <c r="B17" s="296" t="s">
        <v>169</v>
      </c>
      <c r="C17" s="48" t="s">
        <v>170</v>
      </c>
      <c r="D17" s="50" t="s">
        <v>395</v>
      </c>
    </row>
    <row r="18" spans="1:5" ht="48.75" customHeight="1" thickBot="1">
      <c r="B18" s="296"/>
      <c r="C18" s="57" t="s">
        <v>171</v>
      </c>
      <c r="D18" s="50"/>
    </row>
    <row r="19" spans="1:5" ht="36.75" customHeight="1" thickBot="1">
      <c r="B19" s="296" t="s">
        <v>172</v>
      </c>
      <c r="C19" s="297"/>
      <c r="D19" s="50" t="s">
        <v>396</v>
      </c>
    </row>
    <row r="21" spans="1:5">
      <c r="B21" s="58" t="s">
        <v>173</v>
      </c>
    </row>
    <row r="22" spans="1:5">
      <c r="B22" s="58" t="s">
        <v>174</v>
      </c>
      <c r="E22" s="59"/>
    </row>
    <row r="23" spans="1:5">
      <c r="B23" s="58" t="s">
        <v>175</v>
      </c>
    </row>
    <row r="24" spans="1:5">
      <c r="B24" s="58" t="s">
        <v>176</v>
      </c>
    </row>
    <row r="26" spans="1:5" ht="20">
      <c r="A26" s="46" t="s">
        <v>177</v>
      </c>
      <c r="C26" t="s">
        <v>178</v>
      </c>
    </row>
    <row r="28" spans="1:5" ht="22.5" customHeight="1" thickBot="1">
      <c r="B28" s="294" t="s">
        <v>157</v>
      </c>
      <c r="C28" s="295"/>
      <c r="D28" s="47" t="s">
        <v>158</v>
      </c>
    </row>
    <row r="29" spans="1:5" ht="22.5" customHeight="1" thickBot="1">
      <c r="B29" s="292" t="s">
        <v>179</v>
      </c>
      <c r="C29" s="293"/>
      <c r="D29" s="50" t="s">
        <v>397</v>
      </c>
    </row>
    <row r="30" spans="1:5" ht="22.5" customHeight="1" thickBot="1">
      <c r="B30" s="51" t="s">
        <v>180</v>
      </c>
      <c r="C30" s="49"/>
      <c r="D30" s="219">
        <v>46160</v>
      </c>
    </row>
    <row r="31" spans="1:5" ht="34" customHeight="1" thickBot="1">
      <c r="B31" s="284" t="s">
        <v>181</v>
      </c>
      <c r="C31" s="48" t="s">
        <v>182</v>
      </c>
      <c r="D31" s="60" t="s">
        <v>183</v>
      </c>
    </row>
    <row r="32" spans="1:5" ht="22.5" customHeight="1" thickBot="1">
      <c r="B32" s="284"/>
      <c r="C32" s="48" t="s">
        <v>184</v>
      </c>
      <c r="D32" s="50" t="s">
        <v>398</v>
      </c>
    </row>
    <row r="33" spans="1:5" ht="22.5" customHeight="1" thickBot="1">
      <c r="B33" s="284"/>
      <c r="C33" s="48" t="s">
        <v>185</v>
      </c>
      <c r="D33" s="50"/>
    </row>
    <row r="34" spans="1:5" ht="22.5" customHeight="1">
      <c r="B34" s="284"/>
      <c r="C34" s="48" t="s">
        <v>168</v>
      </c>
      <c r="D34" s="61"/>
    </row>
    <row r="35" spans="1:5" ht="22.5" customHeight="1">
      <c r="B35" s="56" t="s">
        <v>186</v>
      </c>
      <c r="C35" s="62"/>
      <c r="D35" s="63"/>
    </row>
    <row r="37" spans="1:5">
      <c r="B37" s="64" t="s">
        <v>187</v>
      </c>
    </row>
    <row r="38" spans="1:5">
      <c r="B38" s="65" t="s">
        <v>188</v>
      </c>
    </row>
    <row r="40" spans="1:5">
      <c r="A40" s="3" t="s">
        <v>189</v>
      </c>
    </row>
    <row r="42" spans="1:5" ht="19.5" customHeight="1">
      <c r="B42" t="s">
        <v>190</v>
      </c>
    </row>
    <row r="43" spans="1:5" ht="20.25" customHeight="1">
      <c r="B43" s="66" t="s">
        <v>191</v>
      </c>
      <c r="C43" s="48"/>
      <c r="D43" s="67" t="s">
        <v>192</v>
      </c>
      <c r="E43" s="62"/>
    </row>
    <row r="44" spans="1:5" ht="19.5" customHeight="1">
      <c r="B44" s="66" t="s">
        <v>193</v>
      </c>
      <c r="C44" s="48" t="s">
        <v>194</v>
      </c>
      <c r="D44" s="49"/>
      <c r="E44" s="62"/>
    </row>
    <row r="45" spans="1:5" ht="19.5" customHeight="1">
      <c r="B45" s="66" t="s">
        <v>195</v>
      </c>
      <c r="C45" s="48" t="s">
        <v>196</v>
      </c>
      <c r="D45" s="49"/>
      <c r="E45" s="62"/>
    </row>
    <row r="46" spans="1:5" ht="19.5" customHeight="1">
      <c r="B46" s="66" t="s">
        <v>197</v>
      </c>
      <c r="C46" s="48" t="s">
        <v>198</v>
      </c>
      <c r="D46" s="49"/>
      <c r="E46" s="62"/>
    </row>
    <row r="47" spans="1:5">
      <c r="B47" s="68"/>
      <c r="C47" s="68"/>
      <c r="D47" s="68"/>
    </row>
    <row r="48" spans="1:5" ht="19" thickBot="1">
      <c r="C48" s="68" t="s">
        <v>199</v>
      </c>
    </row>
    <row r="49" spans="1:5" ht="39" thickBot="1">
      <c r="A49" s="285" t="s">
        <v>200</v>
      </c>
      <c r="B49" s="286"/>
      <c r="C49" s="69" t="s">
        <v>201</v>
      </c>
      <c r="D49" s="70" t="s">
        <v>202</v>
      </c>
      <c r="E49" s="71" t="s">
        <v>203</v>
      </c>
    </row>
    <row r="50" spans="1:5" ht="19">
      <c r="A50" s="72" t="s">
        <v>204</v>
      </c>
      <c r="B50" s="73"/>
      <c r="C50" s="73"/>
      <c r="D50" s="73"/>
      <c r="E50" s="74" t="s">
        <v>205</v>
      </c>
    </row>
    <row r="51" spans="1:5" ht="30" customHeight="1">
      <c r="A51" s="75"/>
      <c r="B51" s="4" t="s">
        <v>206</v>
      </c>
      <c r="C51" s="85" t="str">
        <f>'(B)論文・書籍・技術解説用_個別確認'!A9</f>
        <v>■</v>
      </c>
      <c r="D51" s="48" t="s">
        <v>207</v>
      </c>
      <c r="E51" s="76" t="str">
        <f>'(B)論文・書籍・技術解説用_個別確認'!E9</f>
        <v>-</v>
      </c>
    </row>
    <row r="52" spans="1:5" ht="30" customHeight="1" thickBot="1">
      <c r="A52" s="77"/>
      <c r="B52" s="78" t="s">
        <v>208</v>
      </c>
      <c r="C52" s="88" t="str">
        <f>'(B)論文・書籍・技術解説用_個別確認'!A12</f>
        <v>■</v>
      </c>
      <c r="D52" s="79" t="s">
        <v>209</v>
      </c>
      <c r="E52" s="80" t="str">
        <f>'(B)論文・書籍・技術解説用_個別確認'!E12</f>
        <v>-</v>
      </c>
    </row>
    <row r="53" spans="1:5" ht="20">
      <c r="A53" s="72" t="s">
        <v>210</v>
      </c>
      <c r="B53" s="73"/>
      <c r="C53" s="81"/>
      <c r="D53" s="73"/>
      <c r="E53" s="82" t="s">
        <v>205</v>
      </c>
    </row>
    <row r="54" spans="1:5" ht="30" customHeight="1">
      <c r="A54" s="75"/>
      <c r="B54" s="4" t="s">
        <v>211</v>
      </c>
      <c r="C54" s="85" t="str">
        <f>'(B)論文・書籍・技術解説用_個別確認'!A19</f>
        <v>■</v>
      </c>
      <c r="D54" s="48" t="s">
        <v>212</v>
      </c>
      <c r="E54" s="83" t="str">
        <f>'(B)論文・書籍・技術解説用_個別確認'!E19</f>
        <v>-</v>
      </c>
    </row>
    <row r="55" spans="1:5" ht="30" customHeight="1" thickBot="1">
      <c r="A55" s="75"/>
      <c r="B55" s="4" t="s">
        <v>213</v>
      </c>
      <c r="C55" s="85" t="str">
        <f>'(B)論文・書籍・技術解説用_個別確認'!A22</f>
        <v>◆</v>
      </c>
      <c r="D55" s="48" t="s">
        <v>214</v>
      </c>
      <c r="E55" s="84" t="str">
        <f>'(B)論文・書籍・技術解説用_個別確認'!E22</f>
        <v>技術内容の公表ではない／公知情報である等、特許出願予定の無いことを決裁文書に記載してください。</v>
      </c>
    </row>
    <row r="56" spans="1:5" ht="20">
      <c r="A56" s="72" t="s">
        <v>215</v>
      </c>
      <c r="B56" s="73"/>
      <c r="C56" s="81"/>
      <c r="D56" s="73"/>
      <c r="E56" s="74" t="s">
        <v>205</v>
      </c>
    </row>
    <row r="57" spans="1:5" ht="30" customHeight="1" thickBot="1">
      <c r="A57" s="75"/>
      <c r="B57" s="4" t="s">
        <v>216</v>
      </c>
      <c r="C57" s="85" t="str">
        <f>'(B)論文・書籍・技術解説用_個別確認'!A29</f>
        <v>■</v>
      </c>
      <c r="D57" s="48" t="s">
        <v>217</v>
      </c>
      <c r="E57" s="83" t="str">
        <f>'(B)論文・書籍・技術解説用_個別確認'!E29</f>
        <v>-</v>
      </c>
    </row>
    <row r="58" spans="1:5" ht="20">
      <c r="A58" s="72" t="s">
        <v>218</v>
      </c>
      <c r="B58" s="73"/>
      <c r="C58" s="81"/>
      <c r="D58" s="73"/>
      <c r="E58" s="82" t="s">
        <v>205</v>
      </c>
    </row>
    <row r="59" spans="1:5" ht="30" customHeight="1">
      <c r="A59" s="75"/>
      <c r="B59" s="4" t="s">
        <v>219</v>
      </c>
      <c r="C59" s="85" t="str">
        <f>'(B)論文・書籍・技術解説用_個別確認'!A36</f>
        <v>▼</v>
      </c>
      <c r="D59" s="48" t="s">
        <v>220</v>
      </c>
      <c r="E59" s="83" t="str">
        <f>'(B)論文・書籍・技術解説用_個別確認'!E36</f>
        <v>-</v>
      </c>
    </row>
    <row r="60" spans="1:5" ht="30" customHeight="1">
      <c r="A60" s="75"/>
      <c r="B60" s="24" t="s">
        <v>221</v>
      </c>
      <c r="C60" s="86" t="str">
        <f>'(B)論文・書籍・技術解説用_個別確認'!A40</f>
        <v>◆</v>
      </c>
      <c r="D60" s="87" t="s">
        <v>222</v>
      </c>
      <c r="E60" s="80" t="str">
        <f>'(B)論文・書籍・技術解説用_個別確認'!E40</f>
        <v>引用チェックシートを添付して下さい。</v>
      </c>
    </row>
    <row r="61" spans="1:5" ht="30" customHeight="1" thickBot="1">
      <c r="A61" s="77"/>
      <c r="B61" s="78" t="s">
        <v>223</v>
      </c>
      <c r="C61" s="88" t="str">
        <f>'(B)論文・書籍・技術解説用_個別確認'!A44</f>
        <v>▼</v>
      </c>
      <c r="D61" s="79" t="s">
        <v>224</v>
      </c>
      <c r="E61" s="89" t="str">
        <f>'(B)論文・書籍・技術解説用_個別確認'!E44</f>
        <v>Ｄ３項チェック不要です。</v>
      </c>
    </row>
    <row r="62" spans="1:5" ht="20">
      <c r="A62" s="72" t="s">
        <v>225</v>
      </c>
      <c r="B62" s="73"/>
      <c r="C62" s="81"/>
      <c r="D62" s="73"/>
      <c r="E62" s="74" t="s">
        <v>205</v>
      </c>
    </row>
    <row r="63" spans="1:5" ht="14.25" customHeight="1">
      <c r="A63" s="75"/>
      <c r="B63" s="251" t="s">
        <v>226</v>
      </c>
      <c r="C63" s="287" t="str">
        <f>'(B)論文・書籍・技術解説用_個別確認'!A51</f>
        <v>◆</v>
      </c>
      <c r="D63" s="289" t="s">
        <v>227</v>
      </c>
      <c r="E63" s="83" t="str">
        <f>'(B)論文・書籍・技術解説用_個別確認'!E51</f>
        <v>(ｱ)欄に個人名記載の理由を記入して下さい（リストを選択）</v>
      </c>
    </row>
    <row r="64" spans="1:5" ht="14.25" customHeight="1">
      <c r="A64" s="75"/>
      <c r="B64" s="252"/>
      <c r="C64" s="288"/>
      <c r="D64" s="290"/>
      <c r="E64" s="90" t="str">
        <f>[1]個別確認!D55</f>
        <v>　</v>
      </c>
    </row>
    <row r="65" spans="1:5" ht="30" customHeight="1">
      <c r="A65" s="75"/>
      <c r="B65" s="4" t="s">
        <v>228</v>
      </c>
      <c r="C65" s="85" t="str">
        <f>'(B)論文・書籍・技術解説用_個別確認'!A56</f>
        <v>■</v>
      </c>
      <c r="D65" s="48" t="s">
        <v>229</v>
      </c>
      <c r="E65" s="83" t="str">
        <f>'(B)論文・書籍・技術解説用_個別確認'!E56</f>
        <v>-</v>
      </c>
    </row>
    <row r="66" spans="1:5" ht="30" customHeight="1">
      <c r="A66" s="75"/>
      <c r="B66" s="4" t="s">
        <v>230</v>
      </c>
      <c r="C66" s="85" t="str">
        <f>'(B)論文・書籍・技術解説用_個別確認'!A60</f>
        <v>■</v>
      </c>
      <c r="D66" s="48" t="s">
        <v>231</v>
      </c>
      <c r="E66" s="83" t="str">
        <f>'(B)論文・書籍・技術解説用_個別確認'!E60</f>
        <v>-</v>
      </c>
    </row>
    <row r="67" spans="1:5" ht="30" customHeight="1" thickBot="1">
      <c r="A67" s="77"/>
      <c r="B67" s="78" t="s">
        <v>232</v>
      </c>
      <c r="C67" s="88" t="str">
        <f>'(B)論文・書籍・技術解説用_個別確認'!A64</f>
        <v>■</v>
      </c>
      <c r="D67" s="79" t="s">
        <v>233</v>
      </c>
      <c r="E67" s="80" t="str">
        <f>'(B)論文・書籍・技術解説用_個別確認'!E64</f>
        <v>-</v>
      </c>
    </row>
    <row r="68" spans="1:5" ht="20">
      <c r="A68" s="72" t="s">
        <v>234</v>
      </c>
      <c r="B68" s="73"/>
      <c r="C68" s="81"/>
      <c r="D68" s="73"/>
      <c r="E68" s="82" t="s">
        <v>205</v>
      </c>
    </row>
    <row r="69" spans="1:5" ht="30" customHeight="1" thickBot="1">
      <c r="A69" s="77"/>
      <c r="B69" s="78" t="s">
        <v>235</v>
      </c>
      <c r="C69" s="186" t="str">
        <f>'(B)論文・書籍・技術解説用_個別確認'!A75</f>
        <v>■</v>
      </c>
      <c r="D69" s="79" t="s">
        <v>236</v>
      </c>
      <c r="E69" s="89" t="str">
        <f>'(B)論文・書籍・技術解説用_個別確認'!E75</f>
        <v>-</v>
      </c>
    </row>
    <row r="70" spans="1:5" ht="21" thickBot="1">
      <c r="A70" s="72" t="s">
        <v>237</v>
      </c>
      <c r="B70" s="73"/>
      <c r="C70" s="81"/>
      <c r="D70" s="73"/>
      <c r="E70" s="74" t="s">
        <v>205</v>
      </c>
    </row>
    <row r="71" spans="1:5" ht="30" customHeight="1">
      <c r="A71" s="91"/>
      <c r="B71" s="92" t="s">
        <v>238</v>
      </c>
      <c r="C71" s="85" t="str">
        <f>'(B)論文・書籍・技術解説用_個別確認'!A84</f>
        <v>■</v>
      </c>
      <c r="D71" s="93" t="s">
        <v>239</v>
      </c>
      <c r="E71" s="94" t="str">
        <f>'(B)論文・書籍・技術解説用_個別確認'!E84</f>
        <v>-</v>
      </c>
    </row>
    <row r="72" spans="1:5" ht="30" customHeight="1" thickBot="1">
      <c r="A72" s="75"/>
      <c r="B72" s="95" t="s">
        <v>240</v>
      </c>
      <c r="C72" s="85" t="str">
        <f>'(B)論文・書籍・技術解説用_個別確認'!A87</f>
        <v>■</v>
      </c>
      <c r="D72" s="96" t="s">
        <v>241</v>
      </c>
      <c r="E72" s="83" t="str">
        <f>'(B)論文・書籍・技術解説用_個別確認'!E87</f>
        <v>-</v>
      </c>
    </row>
    <row r="73" spans="1:5" ht="25" thickBot="1">
      <c r="A73" s="97" t="s">
        <v>242</v>
      </c>
      <c r="B73" s="98"/>
      <c r="C73" s="99" t="str">
        <f>'(B)論文・書籍・技術解説用_個別確認'!A94</f>
        <v>■</v>
      </c>
      <c r="D73" s="100"/>
      <c r="E73" s="101" t="s">
        <v>205</v>
      </c>
    </row>
    <row r="75" spans="1:5" ht="17.25" customHeight="1" thickBot="1">
      <c r="A75" s="291" t="s">
        <v>243</v>
      </c>
      <c r="B75" s="291"/>
    </row>
    <row r="76" spans="1:5">
      <c r="A76" s="275"/>
      <c r="B76" s="276"/>
      <c r="C76" s="276"/>
      <c r="D76" s="276"/>
      <c r="E76" s="277"/>
    </row>
    <row r="77" spans="1:5">
      <c r="A77" s="278"/>
      <c r="B77" s="279"/>
      <c r="C77" s="279"/>
      <c r="D77" s="279"/>
      <c r="E77" s="280"/>
    </row>
    <row r="78" spans="1:5" ht="19" thickBot="1">
      <c r="A78" s="281"/>
      <c r="B78" s="282"/>
      <c r="C78" s="282"/>
      <c r="D78" s="282"/>
      <c r="E78" s="283"/>
    </row>
  </sheetData>
  <sheetProtection algorithmName="SHA-512" hashValue="7Y3vFu7GWCYOUMDdNRpTNY8wBw9KdBgISMqf85bD5nso2ycHBhvpr+R/A8BU3hSB5eM/IrdpojMIDf4FHHQFMA==" saltValue="bc0PtHZVh0zM0fo17YfZ7A==" spinCount="100000" sheet="1" selectLockedCells="1"/>
  <mergeCells count="15">
    <mergeCell ref="B29:C29"/>
    <mergeCell ref="B8:C8"/>
    <mergeCell ref="B15:B16"/>
    <mergeCell ref="B17:B18"/>
    <mergeCell ref="B19:C19"/>
    <mergeCell ref="B28:C28"/>
    <mergeCell ref="A76:E76"/>
    <mergeCell ref="A77:E77"/>
    <mergeCell ref="A78:E78"/>
    <mergeCell ref="B31:B34"/>
    <mergeCell ref="A49:B49"/>
    <mergeCell ref="B63:B64"/>
    <mergeCell ref="C63:C64"/>
    <mergeCell ref="D63:D64"/>
    <mergeCell ref="A75:B75"/>
  </mergeCells>
  <phoneticPr fontId="2"/>
  <dataValidations disablePrompts="1" count="1">
    <dataValidation allowBlank="1" showErrorMessage="1" error="チェック結果はメニューから選択して下さい" sqref="C73" xr:uid="{64BF8779-5DD8-4C2D-829F-1E2F315C8271}"/>
  </dataValidations>
  <pageMargins left="0.7" right="0.7" top="0.75" bottom="0.75" header="0.3" footer="0.3"/>
  <pageSetup paperSize="9" scale="84"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313B8-7163-4627-B1B0-B30060B07950}">
  <sheetPr>
    <tabColor theme="9" tint="0.59999389629810485"/>
    <pageSetUpPr fitToPage="1"/>
  </sheetPr>
  <dimension ref="A1:G95"/>
  <sheetViews>
    <sheetView zoomScale="85" zoomScaleNormal="85" workbookViewId="0">
      <selection activeCell="D55" sqref="D55"/>
    </sheetView>
  </sheetViews>
  <sheetFormatPr baseColWidth="10" defaultColWidth="8.1640625" defaultRowHeight="18"/>
  <cols>
    <col min="1" max="1" width="8.6640625" style="36" customWidth="1"/>
    <col min="2" max="2" width="12" style="36" customWidth="1"/>
    <col min="3" max="3" width="10.5" style="36" customWidth="1"/>
    <col min="4" max="4" width="75.6640625" style="105" customWidth="1"/>
    <col min="5" max="5" width="21" style="36" customWidth="1"/>
    <col min="6" max="6" width="22.1640625" style="36" customWidth="1"/>
    <col min="7" max="16384" width="8.1640625" style="36"/>
  </cols>
  <sheetData>
    <row r="1" spans="1:6" ht="31">
      <c r="A1" s="102" t="s">
        <v>244</v>
      </c>
      <c r="D1" s="103"/>
      <c r="E1" s="2"/>
      <c r="F1" s="2"/>
    </row>
    <row r="2" spans="1:6">
      <c r="D2" s="103"/>
      <c r="E2" s="103"/>
      <c r="F2" s="103"/>
    </row>
    <row r="3" spans="1:6" ht="76.5" customHeight="1">
      <c r="B3" s="245" t="s">
        <v>245</v>
      </c>
      <c r="C3" s="246"/>
      <c r="D3" s="246"/>
    </row>
    <row r="4" spans="1:6">
      <c r="D4" s="103"/>
    </row>
    <row r="5" spans="1:6" ht="27">
      <c r="A5" s="104" t="s">
        <v>246</v>
      </c>
    </row>
    <row r="6" spans="1:6" ht="24">
      <c r="A6" s="106"/>
      <c r="B6" s="36" t="s">
        <v>247</v>
      </c>
    </row>
    <row r="8" spans="1:6" ht="42">
      <c r="A8" s="107" t="s">
        <v>191</v>
      </c>
      <c r="B8" s="108" t="s">
        <v>36</v>
      </c>
      <c r="C8" s="109" t="s">
        <v>248</v>
      </c>
      <c r="D8" s="108" t="s">
        <v>249</v>
      </c>
      <c r="E8" s="37" t="s">
        <v>203</v>
      </c>
      <c r="F8" s="37" t="s">
        <v>250</v>
      </c>
    </row>
    <row r="9" spans="1:6" ht="57">
      <c r="A9" s="110" t="str">
        <f>IF(AND(C10="●",C11="●"),"error",IF(C10="●","■",IF(C11="●","◆","□")))</f>
        <v>■</v>
      </c>
      <c r="B9" s="111" t="s">
        <v>206</v>
      </c>
      <c r="C9" s="112"/>
      <c r="D9" s="113" t="s">
        <v>251</v>
      </c>
      <c r="E9" s="247" t="str">
        <f>IF(AND(C10="●",C11="●"),"error【Yes/Noどちらかを●にしてください】",IF(C11="●","「他社からの承諾書」をチェックシートに添付してください。",IF(NOT(C10="●"),"A１項未チェックです。","-")))</f>
        <v>-</v>
      </c>
      <c r="F9" s="231"/>
    </row>
    <row r="10" spans="1:6" ht="38">
      <c r="A10" s="114"/>
      <c r="B10" s="115" t="s">
        <v>252</v>
      </c>
      <c r="C10" s="116" t="s">
        <v>399</v>
      </c>
      <c r="D10" s="117" t="s">
        <v>253</v>
      </c>
      <c r="E10" s="247"/>
      <c r="F10" s="232"/>
    </row>
    <row r="11" spans="1:6" ht="38">
      <c r="A11" s="114"/>
      <c r="B11" s="118" t="s">
        <v>254</v>
      </c>
      <c r="C11" s="119" t="s">
        <v>278</v>
      </c>
      <c r="D11" s="120" t="s">
        <v>255</v>
      </c>
      <c r="E11" s="247"/>
      <c r="F11" s="232"/>
    </row>
    <row r="12" spans="1:6" ht="35.25" customHeight="1">
      <c r="A12" s="110" t="str">
        <f>IF(AND(C13="●",C14="●"),"error",IF(C13="●","■",IF(C14="●","◆","□")))</f>
        <v>■</v>
      </c>
      <c r="B12" s="111" t="s">
        <v>208</v>
      </c>
      <c r="C12" s="112"/>
      <c r="D12" s="113" t="s">
        <v>256</v>
      </c>
      <c r="E12" s="247" t="str">
        <f>IF(AND(C13="●",C14="●"),"error【Yes/Noどちらかを●にしてください】",IF(C14="●","発注元からの承諾書をチェックシートに添付してください。",IF(NOT(C13="●"),"A2項未チェックです。","-")))</f>
        <v>-</v>
      </c>
      <c r="F12" s="231"/>
    </row>
    <row r="13" spans="1:6" ht="38">
      <c r="A13" s="114"/>
      <c r="B13" s="115" t="s">
        <v>252</v>
      </c>
      <c r="C13" s="116" t="s">
        <v>399</v>
      </c>
      <c r="D13" s="117" t="s">
        <v>257</v>
      </c>
      <c r="E13" s="247"/>
      <c r="F13" s="232"/>
    </row>
    <row r="14" spans="1:6" ht="45">
      <c r="A14" s="121"/>
      <c r="B14" s="122" t="s">
        <v>258</v>
      </c>
      <c r="C14" s="123" t="s">
        <v>278</v>
      </c>
      <c r="D14" s="124" t="s">
        <v>259</v>
      </c>
      <c r="E14" s="247"/>
      <c r="F14" s="232"/>
    </row>
    <row r="16" spans="1:6" ht="27">
      <c r="A16" s="104" t="s">
        <v>260</v>
      </c>
    </row>
    <row r="17" spans="1:6">
      <c r="B17" s="36" t="s">
        <v>261</v>
      </c>
    </row>
    <row r="18" spans="1:6" ht="42">
      <c r="A18" s="107" t="s">
        <v>191</v>
      </c>
      <c r="B18" s="108" t="s">
        <v>36</v>
      </c>
      <c r="C18" s="109" t="s">
        <v>248</v>
      </c>
      <c r="D18" s="108" t="s">
        <v>249</v>
      </c>
      <c r="E18" s="37" t="s">
        <v>203</v>
      </c>
      <c r="F18" s="37" t="s">
        <v>250</v>
      </c>
    </row>
    <row r="19" spans="1:6" ht="38">
      <c r="A19" s="110" t="str">
        <f>IF(AND(C20="●",C21="●"),"error",IF(C20="●","■",IF(C21="●","◆","□")))</f>
        <v>■</v>
      </c>
      <c r="B19" s="125" t="s">
        <v>211</v>
      </c>
      <c r="C19" s="126" t="s">
        <v>262</v>
      </c>
      <c r="D19" s="113" t="s">
        <v>263</v>
      </c>
      <c r="E19" s="222" t="str">
        <f>IF(AND(C20="●",C21="●"),"error【Yes/Noどちらかを●にしてください】",IF(C21="●","公開する理由/関連組織からの承諾を決裁文書に記載してください。",IF(NOT(C20="●"),"Ｂ１項未チェックです。","-")))</f>
        <v>-</v>
      </c>
      <c r="F19" s="231"/>
    </row>
    <row r="20" spans="1:6" ht="38">
      <c r="A20" s="114"/>
      <c r="B20" s="127" t="s">
        <v>264</v>
      </c>
      <c r="C20" s="116" t="s">
        <v>399</v>
      </c>
      <c r="D20" s="117" t="s">
        <v>265</v>
      </c>
      <c r="E20" s="230"/>
      <c r="F20" s="232"/>
    </row>
    <row r="21" spans="1:6" ht="57.75" customHeight="1">
      <c r="A21" s="114"/>
      <c r="B21" s="128" t="s">
        <v>266</v>
      </c>
      <c r="C21" s="116" t="s">
        <v>278</v>
      </c>
      <c r="D21" s="117" t="s">
        <v>267</v>
      </c>
      <c r="E21" s="230"/>
      <c r="F21" s="232"/>
    </row>
    <row r="22" spans="1:6" ht="57">
      <c r="A22" s="110" t="str">
        <f>IF(AND(C23="●",C24="●"),"error",IF(C23="●","■",IF(C24="●","◆","□")))</f>
        <v>◆</v>
      </c>
      <c r="B22" s="111" t="s">
        <v>213</v>
      </c>
      <c r="C22" s="129" t="s">
        <v>268</v>
      </c>
      <c r="D22" s="113" t="s">
        <v>269</v>
      </c>
      <c r="E22" s="242" t="str">
        <f>IF(AND(C23="●",C24="●"),"error【Yes/Noどちらかを●にしてください】",IF(C24="●","技術内容の公表ではない／公知情報である等、特許出願予定の無いことを決裁文書に記載してください。",IF(NOT(C23="●"),"Ｂ２項未チェックです。","-")))</f>
        <v>技術内容の公表ではない／公知情報である等、特許出願予定の無いことを決裁文書に記載してください。</v>
      </c>
      <c r="F22" s="231"/>
    </row>
    <row r="23" spans="1:6" ht="38">
      <c r="A23" s="114"/>
      <c r="B23" s="130" t="s">
        <v>270</v>
      </c>
      <c r="C23" s="116" t="s">
        <v>326</v>
      </c>
      <c r="D23" s="131" t="s">
        <v>271</v>
      </c>
      <c r="E23" s="230"/>
      <c r="F23" s="232"/>
    </row>
    <row r="24" spans="1:6" ht="48" customHeight="1">
      <c r="A24" s="121"/>
      <c r="B24" s="132" t="s">
        <v>272</v>
      </c>
      <c r="C24" s="133" t="s">
        <v>399</v>
      </c>
      <c r="D24" s="117" t="s">
        <v>273</v>
      </c>
      <c r="E24" s="237"/>
      <c r="F24" s="232"/>
    </row>
    <row r="26" spans="1:6" ht="27">
      <c r="A26" s="104" t="s">
        <v>274</v>
      </c>
    </row>
    <row r="28" spans="1:6" ht="42">
      <c r="A28" s="107" t="s">
        <v>191</v>
      </c>
      <c r="B28" s="108" t="s">
        <v>36</v>
      </c>
      <c r="C28" s="109" t="s">
        <v>248</v>
      </c>
      <c r="D28" s="108" t="s">
        <v>249</v>
      </c>
      <c r="E28" s="37" t="s">
        <v>203</v>
      </c>
      <c r="F28" s="37" t="s">
        <v>250</v>
      </c>
    </row>
    <row r="29" spans="1:6" ht="42" customHeight="1">
      <c r="A29" s="134" t="str">
        <f>IF(AND(C30="●",C31="●"),"error",IF(C30="●","■",IF(C31="●","◆","□")))</f>
        <v>■</v>
      </c>
      <c r="B29" s="111" t="s">
        <v>216</v>
      </c>
      <c r="C29" s="135" t="s">
        <v>275</v>
      </c>
      <c r="D29" s="136" t="s">
        <v>276</v>
      </c>
      <c r="E29" s="222" t="str">
        <f>IF(AND(C30="●",C31="●"),"error【Yes/Noどちらかを●にしてください】",IF(C31="●","著作権譲渡しても自社での使用/改変はできるなどの業務に支障の無い旨決裁文書に記載してください。",IF(NOT(C30="●"),"Ｃ１項未チェックです。","-")))</f>
        <v>-</v>
      </c>
      <c r="F29" s="225"/>
    </row>
    <row r="30" spans="1:6" ht="37">
      <c r="A30" s="137"/>
      <c r="B30" s="138" t="s">
        <v>277</v>
      </c>
      <c r="C30" s="220" t="s">
        <v>399</v>
      </c>
      <c r="D30" s="136" t="s">
        <v>279</v>
      </c>
      <c r="E30" s="230"/>
      <c r="F30" s="226"/>
    </row>
    <row r="31" spans="1:6" ht="57">
      <c r="A31" s="122"/>
      <c r="B31" s="130" t="s">
        <v>280</v>
      </c>
      <c r="C31" s="221" t="s">
        <v>278</v>
      </c>
      <c r="D31" s="139" t="s">
        <v>281</v>
      </c>
      <c r="E31" s="237"/>
      <c r="F31" s="227"/>
    </row>
    <row r="33" spans="1:6" ht="27">
      <c r="A33" s="104" t="s">
        <v>282</v>
      </c>
    </row>
    <row r="34" spans="1:6">
      <c r="B34" s="36" t="s">
        <v>283</v>
      </c>
    </row>
    <row r="35" spans="1:6" ht="42">
      <c r="A35" s="107" t="s">
        <v>191</v>
      </c>
      <c r="B35" s="108" t="s">
        <v>36</v>
      </c>
      <c r="C35" s="109" t="s">
        <v>248</v>
      </c>
      <c r="D35" s="108" t="s">
        <v>249</v>
      </c>
      <c r="E35" s="37" t="s">
        <v>284</v>
      </c>
      <c r="F35" s="37" t="s">
        <v>250</v>
      </c>
    </row>
    <row r="36" spans="1:6" ht="38">
      <c r="A36" s="134" t="str">
        <f>IF(AND(C37="●",OR(C38="●",C39="●")),"error",IF(AND(C38="●",C39="●"),"error",IF(C37="●","■",IF(C38="●","▼",IF(C39="●","▼","□")))))</f>
        <v>▼</v>
      </c>
      <c r="B36" s="125" t="s">
        <v>219</v>
      </c>
      <c r="C36" s="126" t="s">
        <v>285</v>
      </c>
      <c r="D36" s="113" t="s">
        <v>286</v>
      </c>
      <c r="E36" s="222" t="str">
        <f>IF(AND(C37="●",OR(C38="●",C39="●")),"error【①②③の何れかを●にしてください】",IF(AND(C38="●",C39="●"),"error【②③の何れかを●にしてください】",IF(C37="●","-",IF(C38="●","-",IF(C39="●","-","Ｄ１項未チェックです。")))))</f>
        <v>-</v>
      </c>
      <c r="F36" s="231"/>
    </row>
    <row r="37" spans="1:6" ht="38">
      <c r="A37" s="137"/>
      <c r="B37" s="140" t="s">
        <v>287</v>
      </c>
      <c r="C37" s="220" t="s">
        <v>278</v>
      </c>
      <c r="D37" s="131" t="s">
        <v>288</v>
      </c>
      <c r="E37" s="230"/>
      <c r="F37" s="232"/>
    </row>
    <row r="38" spans="1:6" ht="55">
      <c r="A38" s="137"/>
      <c r="B38" s="140" t="s">
        <v>289</v>
      </c>
      <c r="C38" s="221" t="s">
        <v>399</v>
      </c>
      <c r="D38" s="131" t="s">
        <v>290</v>
      </c>
      <c r="E38" s="230"/>
      <c r="F38" s="232"/>
    </row>
    <row r="39" spans="1:6" ht="55">
      <c r="A39" s="122"/>
      <c r="B39" s="140" t="s">
        <v>291</v>
      </c>
      <c r="C39" s="221" t="s">
        <v>278</v>
      </c>
      <c r="D39" s="131" t="s">
        <v>292</v>
      </c>
      <c r="E39" s="237"/>
      <c r="F39" s="232"/>
    </row>
    <row r="40" spans="1:6" ht="33" customHeight="1">
      <c r="A40" s="134" t="str">
        <f>IF(A36="■","▼",IF(AND(A36="▼",C39="●"),"▼",IF(AND(C41="●",C42="●"),"◆",IF(C41="●","◆",IF(C42="●","◆","□")))))</f>
        <v>◆</v>
      </c>
      <c r="B40" s="125" t="s">
        <v>221</v>
      </c>
      <c r="C40" s="141" t="s">
        <v>293</v>
      </c>
      <c r="D40" s="142" t="s">
        <v>294</v>
      </c>
      <c r="E40" s="222" t="str">
        <f>IF(A36="■","Ｄ２項チェック不要です。",IF(AND(A36="▼",C39="●"),"Ｄ２項チェック不要です。",IF(AND(C41="●",C42="●"),"「他社（者）著作物の使用許諾文書」および「引用チェックシート」を添付して下さい。使用許諾の許諾期間がある場合は公表する期間が許諾期間に含まれる事の証跡を示してください。",IF(C41="●","他社（者）著作物の使用許諾文書を添付して下さい。使用許諾の許諾期間がある場合は公表する期間が許諾期間に含まれる事の証跡を示してください。",IF(C42="●","引用チェックシートを添付して下さい。","Ｄ２項未チェックです。")))))</f>
        <v>引用チェックシートを添付して下さい。</v>
      </c>
      <c r="F40" s="231"/>
    </row>
    <row r="41" spans="1:6" ht="46.5" customHeight="1">
      <c r="A41" s="137"/>
      <c r="B41" s="143" t="s">
        <v>295</v>
      </c>
      <c r="C41" s="116" t="s">
        <v>278</v>
      </c>
      <c r="D41" s="117" t="s">
        <v>296</v>
      </c>
      <c r="E41" s="230"/>
      <c r="F41" s="232"/>
    </row>
    <row r="42" spans="1:6" ht="57">
      <c r="A42" s="137"/>
      <c r="B42" s="144" t="s">
        <v>297</v>
      </c>
      <c r="C42" s="243" t="s">
        <v>399</v>
      </c>
      <c r="D42" s="145" t="s">
        <v>298</v>
      </c>
      <c r="E42" s="230"/>
      <c r="F42" s="232"/>
    </row>
    <row r="43" spans="1:6">
      <c r="A43" s="137"/>
      <c r="B43" s="122"/>
      <c r="C43" s="244"/>
      <c r="D43" s="146" t="s">
        <v>299</v>
      </c>
      <c r="E43" s="230"/>
      <c r="F43" s="232"/>
    </row>
    <row r="44" spans="1:6" ht="63.5" customHeight="1">
      <c r="A44" s="134" t="str">
        <f>IF(A36="■","▼",IF(AND(A36="▼",C38="●"),"▼",IF(AND(C45="●",C46="●"),"◆",IF(C45="●","◆",IF(C46="●","◆","□")))))</f>
        <v>▼</v>
      </c>
      <c r="B44" s="111" t="s">
        <v>223</v>
      </c>
      <c r="C44" s="147" t="s">
        <v>300</v>
      </c>
      <c r="D44" s="136" t="s">
        <v>301</v>
      </c>
      <c r="E44" s="222" t="str">
        <f>IF(A36="■","Ｄ３項チェック不要です。",IF(AND(A36="▼",C38="●"),"Ｄ３項チェック不要です。",IF(AND(C45="●",C46="●"),"「他社（者）著作物の使用許諾文書」および、知的財産担当と相談した結果、妥当な修正である旨が確認された文書を添付して下さい。",IF(C45="●","他社（者）著作物の使用許諾文書を添付して下さい。使用許諾の許諾期間がある場合は公表する期間が許諾期間に含まれる事の証跡を示してください。",IF(C46="●","知的財産担当と相談した結果、妥当な修正である旨が確認された文書を添付して下さい。","Ｄ３項未チェックです。")))))</f>
        <v>Ｄ３項チェック不要です。</v>
      </c>
      <c r="F44" s="231"/>
    </row>
    <row r="45" spans="1:6" ht="52.5" customHeight="1">
      <c r="A45" s="137"/>
      <c r="B45" s="148" t="s">
        <v>295</v>
      </c>
      <c r="C45" s="116" t="s">
        <v>278</v>
      </c>
      <c r="D45" s="117" t="s">
        <v>302</v>
      </c>
      <c r="E45" s="230"/>
      <c r="F45" s="232"/>
    </row>
    <row r="46" spans="1:6" ht="48.75" customHeight="1">
      <c r="A46" s="122"/>
      <c r="B46" s="143" t="s">
        <v>303</v>
      </c>
      <c r="C46" s="116" t="s">
        <v>278</v>
      </c>
      <c r="D46" s="117" t="s">
        <v>304</v>
      </c>
      <c r="E46" s="237"/>
      <c r="F46" s="232"/>
    </row>
    <row r="48" spans="1:6" ht="27">
      <c r="A48" s="104" t="s">
        <v>305</v>
      </c>
    </row>
    <row r="49" spans="1:7">
      <c r="B49" s="36" t="s">
        <v>306</v>
      </c>
    </row>
    <row r="50" spans="1:7" ht="42">
      <c r="A50" s="107" t="s">
        <v>191</v>
      </c>
      <c r="B50" s="108" t="s">
        <v>36</v>
      </c>
      <c r="C50" s="109" t="s">
        <v>248</v>
      </c>
      <c r="D50" s="108" t="s">
        <v>249</v>
      </c>
      <c r="E50" s="37" t="s">
        <v>284</v>
      </c>
      <c r="F50" s="37" t="s">
        <v>250</v>
      </c>
    </row>
    <row r="51" spans="1:7" ht="35.25" customHeight="1">
      <c r="A51" s="134" t="str">
        <f>IF(AND(C52="●",C53="●"),"error",IF(C52="●","■",IF(C53="●","◆","□")))</f>
        <v>◆</v>
      </c>
      <c r="B51" s="149" t="s">
        <v>226</v>
      </c>
      <c r="C51" s="147" t="s">
        <v>307</v>
      </c>
      <c r="D51" s="150" t="s">
        <v>308</v>
      </c>
      <c r="E51" s="222" t="str">
        <f>IF(AND(C52="●",C53="●"),"error【個人名の記載有り/無しの何れかに●をつけてください】",IF(C52="●","-",IF(C53="●","(ｱ)欄に個人名記載の理由を記入して下さい（リストを選択）","Ｅ１項未チェックです。")))</f>
        <v>(ｱ)欄に個人名記載の理由を記入して下さい（リストを選択）</v>
      </c>
      <c r="F51" s="231"/>
    </row>
    <row r="52" spans="1:7" ht="38">
      <c r="A52" s="137"/>
      <c r="B52" s="115" t="s">
        <v>254</v>
      </c>
      <c r="C52" s="116" t="s">
        <v>278</v>
      </c>
      <c r="D52" s="131" t="s">
        <v>309</v>
      </c>
      <c r="E52" s="230"/>
      <c r="F52" s="232"/>
    </row>
    <row r="53" spans="1:7" ht="38">
      <c r="A53" s="137"/>
      <c r="B53" s="130" t="s">
        <v>252</v>
      </c>
      <c r="C53" s="116" t="s">
        <v>399</v>
      </c>
      <c r="D53" s="131" t="s">
        <v>310</v>
      </c>
      <c r="E53" s="230"/>
      <c r="F53" s="232"/>
    </row>
    <row r="54" spans="1:7" ht="38">
      <c r="A54" s="137"/>
      <c r="D54" s="151" t="s">
        <v>311</v>
      </c>
      <c r="E54" s="230"/>
      <c r="F54" s="232"/>
    </row>
    <row r="55" spans="1:7" ht="25.5" customHeight="1">
      <c r="A55" s="137"/>
      <c r="B55" s="240" t="s">
        <v>312</v>
      </c>
      <c r="C55" s="241"/>
      <c r="D55" s="152" t="s">
        <v>400</v>
      </c>
      <c r="E55" s="230"/>
      <c r="F55" s="232"/>
    </row>
    <row r="56" spans="1:7" ht="38">
      <c r="A56" s="134" t="str">
        <f>IF(AND(C58="●",C59="●"),"error",IF(C58="●","■","□"))</f>
        <v>■</v>
      </c>
      <c r="B56" s="125" t="s">
        <v>228</v>
      </c>
      <c r="C56" s="153" t="s">
        <v>313</v>
      </c>
      <c r="D56" s="142" t="s">
        <v>314</v>
      </c>
      <c r="E56" s="222" t="str">
        <f>IF(AND(C58="●",C59="●"),"error【YesかNoどちらかに●を付けて下さい】",IF(C58="●","-",IF(C59="●","ＣＩ/ＧＩガイドラインに従って社名標記を直してください。","Ｅ２項未チェックです。")))</f>
        <v>-</v>
      </c>
      <c r="F56" s="231"/>
    </row>
    <row r="57" spans="1:7">
      <c r="A57" s="137"/>
      <c r="B57" s="121"/>
      <c r="C57" s="154"/>
      <c r="D57" s="155" t="s">
        <v>315</v>
      </c>
      <c r="E57" s="230"/>
      <c r="F57" s="232"/>
    </row>
    <row r="58" spans="1:7" ht="38">
      <c r="A58" s="137"/>
      <c r="B58" s="115" t="s">
        <v>254</v>
      </c>
      <c r="C58" s="220" t="s">
        <v>399</v>
      </c>
      <c r="D58" s="117" t="s">
        <v>316</v>
      </c>
      <c r="E58" s="230"/>
      <c r="F58" s="232"/>
    </row>
    <row r="59" spans="1:7" ht="30.75" customHeight="1">
      <c r="A59" s="122"/>
      <c r="B59" s="115" t="s">
        <v>252</v>
      </c>
      <c r="C59" s="221" t="s">
        <v>278</v>
      </c>
      <c r="D59" s="156" t="s">
        <v>317</v>
      </c>
      <c r="E59" s="237"/>
      <c r="F59" s="232"/>
      <c r="G59" s="157"/>
    </row>
    <row r="60" spans="1:7" ht="48" customHeight="1">
      <c r="A60" s="134" t="str">
        <f>IF(AND(C62="●",C63="●"),"error",IF(C62="●","▼",IF(C63="●","■","□")))</f>
        <v>■</v>
      </c>
      <c r="B60" s="125" t="s">
        <v>230</v>
      </c>
      <c r="C60" s="126" t="s">
        <v>318</v>
      </c>
      <c r="D60" s="142" t="s">
        <v>319</v>
      </c>
      <c r="E60" s="238" t="str">
        <f>IF(AND(C62="●",C63="●"),"error【Yes／Noとちらかに●を付けて下さい】",IF(C62="●","-",IF(C63="●","-","Ｅ３項未チェックです。")))</f>
        <v>-</v>
      </c>
      <c r="F60" s="231"/>
    </row>
    <row r="61" spans="1:7">
      <c r="A61" s="137"/>
      <c r="D61" s="155" t="s">
        <v>320</v>
      </c>
      <c r="E61" s="239"/>
      <c r="F61" s="232"/>
    </row>
    <row r="62" spans="1:7" ht="31.5" customHeight="1">
      <c r="A62" s="137"/>
      <c r="B62" s="130" t="s">
        <v>252</v>
      </c>
      <c r="C62" s="116" t="s">
        <v>278</v>
      </c>
      <c r="D62" s="117" t="s">
        <v>321</v>
      </c>
      <c r="E62" s="239"/>
      <c r="F62" s="232"/>
    </row>
    <row r="63" spans="1:7" ht="37.5" customHeight="1">
      <c r="A63" s="137"/>
      <c r="B63" s="130" t="s">
        <v>254</v>
      </c>
      <c r="C63" s="116" t="s">
        <v>399</v>
      </c>
      <c r="D63" s="117" t="s">
        <v>322</v>
      </c>
      <c r="E63" s="239"/>
      <c r="F63" s="232"/>
      <c r="G63" s="157"/>
    </row>
    <row r="64" spans="1:7" ht="76">
      <c r="A64" s="134" t="str">
        <f>IF(AND(C65="●",OR(C67="●",C69="●",C70="●")),"error",IF(C65="●","■",IF(OR(AND(C69="●",C70="●"),AND(C67="●",C69="●",C70="●")),"◆",IF(AND(C67="●",C70="●"),"■","□"))))</f>
        <v>■</v>
      </c>
      <c r="B64" s="158" t="s">
        <v>232</v>
      </c>
      <c r="C64" s="159" t="s">
        <v>323</v>
      </c>
      <c r="D64" s="160" t="s">
        <v>324</v>
      </c>
      <c r="E64" s="222" t="str">
        <f>IF(AND(C65="●",OR(C67="●",C69="●",C70="●")),"error【他社商標の表記有り/無しの何れかに●をつけてください】",IF(C65="●","-",IF(OR(AND(C69="●",C70="●"),AND(C67="●",C69="●",C70="●")),"他社商標の使用許諾の証拠を決裁文書に添付して下さい",IF(AND(C67="●",C70="●"),"-","Ｅ４項未チェックです。"))))</f>
        <v>-</v>
      </c>
      <c r="F64" s="231"/>
    </row>
    <row r="65" spans="1:6" ht="53">
      <c r="A65" s="137"/>
      <c r="B65" s="130" t="s">
        <v>325</v>
      </c>
      <c r="C65" s="116" t="s">
        <v>326</v>
      </c>
      <c r="D65" s="117" t="s">
        <v>327</v>
      </c>
      <c r="E65" s="230"/>
      <c r="F65" s="232"/>
    </row>
    <row r="66" spans="1:6" ht="76">
      <c r="A66" s="114"/>
      <c r="B66" s="161" t="s">
        <v>328</v>
      </c>
      <c r="C66" s="162"/>
      <c r="D66" s="117" t="s">
        <v>329</v>
      </c>
      <c r="E66" s="230"/>
      <c r="F66" s="232"/>
    </row>
    <row r="67" spans="1:6" ht="33" customHeight="1">
      <c r="A67" s="114"/>
      <c r="B67" s="163" t="s">
        <v>330</v>
      </c>
      <c r="C67" s="228" t="s">
        <v>399</v>
      </c>
      <c r="D67" s="164" t="s">
        <v>331</v>
      </c>
      <c r="E67" s="230"/>
      <c r="F67" s="232"/>
    </row>
    <row r="68" spans="1:6" ht="16.5" customHeight="1">
      <c r="A68" s="114"/>
      <c r="B68" s="163"/>
      <c r="C68" s="229"/>
      <c r="D68" s="196" t="s">
        <v>332</v>
      </c>
      <c r="E68" s="230"/>
      <c r="F68" s="232"/>
    </row>
    <row r="69" spans="1:6" ht="31.5" customHeight="1">
      <c r="A69" s="114"/>
      <c r="B69" s="163" t="s">
        <v>333</v>
      </c>
      <c r="C69" s="165" t="s">
        <v>278</v>
      </c>
      <c r="D69" s="166" t="s">
        <v>334</v>
      </c>
      <c r="E69" s="230"/>
      <c r="F69" s="232"/>
    </row>
    <row r="70" spans="1:6" ht="49.5" customHeight="1">
      <c r="A70" s="122"/>
      <c r="B70" s="167" t="s">
        <v>335</v>
      </c>
      <c r="C70" s="168" t="s">
        <v>399</v>
      </c>
      <c r="D70" s="156" t="s">
        <v>336</v>
      </c>
      <c r="E70" s="237"/>
      <c r="F70" s="232"/>
    </row>
    <row r="72" spans="1:6" ht="27">
      <c r="A72" s="104" t="s">
        <v>337</v>
      </c>
    </row>
    <row r="74" spans="1:6" ht="42">
      <c r="A74" s="107" t="s">
        <v>191</v>
      </c>
      <c r="B74" s="108" t="s">
        <v>36</v>
      </c>
      <c r="C74" s="109" t="s">
        <v>248</v>
      </c>
      <c r="D74" s="108" t="s">
        <v>249</v>
      </c>
      <c r="E74" s="37" t="s">
        <v>284</v>
      </c>
      <c r="F74" s="37" t="s">
        <v>250</v>
      </c>
    </row>
    <row r="75" spans="1:6" ht="38">
      <c r="A75" s="134" t="str">
        <f>IF(AND(C78="●",C79="●"),"error",IF(C78="●","■",IF(C79="●","◆","□")))</f>
        <v>■</v>
      </c>
      <c r="B75" s="125" t="s">
        <v>235</v>
      </c>
      <c r="C75" s="169" t="s">
        <v>338</v>
      </c>
      <c r="D75" s="136" t="s">
        <v>339</v>
      </c>
      <c r="E75" s="222" t="str">
        <f>IF(AND(C78="●",C79="●"),"error【個人情報の記載無し/記載有りの何れかに●をつけてください】",IF(C78="●","-",IF(C79="●","個人情報記載に関する承諾文書を添付して下さい。","Ｆ１項未チェックです。")))</f>
        <v>-</v>
      </c>
      <c r="F75" s="231"/>
    </row>
    <row r="76" spans="1:6" ht="66" customHeight="1">
      <c r="A76" s="137"/>
      <c r="B76" s="233"/>
      <c r="C76" s="234"/>
      <c r="D76" s="170" t="s">
        <v>340</v>
      </c>
      <c r="E76" s="230"/>
      <c r="F76" s="232"/>
    </row>
    <row r="77" spans="1:6" ht="20.5" customHeight="1">
      <c r="A77" s="137"/>
      <c r="B77" s="235"/>
      <c r="C77" s="236"/>
      <c r="D77" s="171" t="s">
        <v>341</v>
      </c>
      <c r="E77" s="230"/>
      <c r="F77" s="232"/>
    </row>
    <row r="78" spans="1:6" ht="38">
      <c r="A78" s="137"/>
      <c r="B78" s="128" t="s">
        <v>342</v>
      </c>
      <c r="C78" s="116" t="s">
        <v>399</v>
      </c>
      <c r="D78" s="117" t="s">
        <v>343</v>
      </c>
      <c r="E78" s="230"/>
      <c r="F78" s="232"/>
    </row>
    <row r="79" spans="1:6" ht="39" customHeight="1">
      <c r="A79" s="122"/>
      <c r="B79" s="172" t="s">
        <v>344</v>
      </c>
      <c r="C79" s="173" t="s">
        <v>278</v>
      </c>
      <c r="D79" s="156" t="s">
        <v>345</v>
      </c>
      <c r="E79" s="230"/>
      <c r="F79" s="232"/>
    </row>
    <row r="80" spans="1:6">
      <c r="E80" s="174"/>
    </row>
    <row r="81" spans="1:6" ht="27">
      <c r="A81" s="104" t="s">
        <v>346</v>
      </c>
    </row>
    <row r="83" spans="1:6" ht="42">
      <c r="A83" s="107" t="s">
        <v>191</v>
      </c>
      <c r="B83" s="108" t="s">
        <v>36</v>
      </c>
      <c r="C83" s="109" t="s">
        <v>248</v>
      </c>
      <c r="D83" s="108" t="s">
        <v>249</v>
      </c>
      <c r="E83" s="175" t="s">
        <v>284</v>
      </c>
      <c r="F83" s="175" t="s">
        <v>250</v>
      </c>
    </row>
    <row r="84" spans="1:6" ht="34.5" customHeight="1">
      <c r="A84" s="134" t="str">
        <f>IF(AND(C85="●",C86="●"),"error",IF(C85="●","■",IF(C86="●","◆","□")))</f>
        <v>■</v>
      </c>
      <c r="B84" s="111" t="s">
        <v>238</v>
      </c>
      <c r="C84" s="176" t="s">
        <v>347</v>
      </c>
      <c r="D84" s="136" t="s">
        <v>348</v>
      </c>
      <c r="E84" s="222" t="str">
        <f>IF(AND(C85="●",C86="●"),"error【①か②どちらかに●を付けて下さい】",IF(C85="●","-",IF(C86="●","輸出審査の必要性の有無を決裁前に輸出管理担当に確認して下さい。","Ｇ１項未チェックです。")))</f>
        <v>-</v>
      </c>
      <c r="F84" s="225"/>
    </row>
    <row r="85" spans="1:6" ht="127.5" customHeight="1">
      <c r="A85" s="137"/>
      <c r="B85" s="177" t="s">
        <v>349</v>
      </c>
      <c r="C85" s="221" t="s">
        <v>399</v>
      </c>
      <c r="D85" s="178" t="s">
        <v>350</v>
      </c>
      <c r="E85" s="230"/>
      <c r="F85" s="226"/>
    </row>
    <row r="86" spans="1:6" ht="32.25" customHeight="1">
      <c r="A86" s="137"/>
      <c r="B86" s="177" t="s">
        <v>351</v>
      </c>
      <c r="C86" s="221" t="s">
        <v>278</v>
      </c>
      <c r="D86" s="117" t="s">
        <v>352</v>
      </c>
      <c r="E86" s="230"/>
      <c r="F86" s="226"/>
    </row>
    <row r="87" spans="1:6" ht="72">
      <c r="A87" s="134" t="str">
        <f>IF(AND(C88="●",C89="●"),"error",IF(C89="●","■",IF(C88="●","◆","□")))</f>
        <v>■</v>
      </c>
      <c r="B87" s="125" t="s">
        <v>353</v>
      </c>
      <c r="C87" s="179" t="s">
        <v>354</v>
      </c>
      <c r="D87" s="180" t="s">
        <v>355</v>
      </c>
      <c r="E87" s="222" t="str">
        <f>IF(AND(C88="●",C89="●"),"error【YesかNoどちらかに●を付けて下さい】",IF(C89="●","-",IF(C88="●","輸出審査が必要です。輸出管理担当に相談して下さい。","Ｇ２項未チェックです。")))</f>
        <v>-</v>
      </c>
      <c r="F87" s="225"/>
    </row>
    <row r="88" spans="1:6" ht="24">
      <c r="A88" s="181"/>
      <c r="B88" s="182" t="s">
        <v>356</v>
      </c>
      <c r="C88" s="116" t="s">
        <v>278</v>
      </c>
      <c r="D88" s="156" t="s">
        <v>357</v>
      </c>
      <c r="E88" s="223"/>
      <c r="F88" s="226"/>
    </row>
    <row r="89" spans="1:6" ht="24">
      <c r="A89" s="183"/>
      <c r="B89" s="182" t="s">
        <v>358</v>
      </c>
      <c r="C89" s="116" t="s">
        <v>399</v>
      </c>
      <c r="D89" s="156" t="s">
        <v>359</v>
      </c>
      <c r="E89" s="224"/>
      <c r="F89" s="227"/>
    </row>
    <row r="91" spans="1:6" ht="27">
      <c r="A91" s="104" t="s">
        <v>360</v>
      </c>
    </row>
    <row r="93" spans="1:6" ht="42">
      <c r="A93" s="107" t="s">
        <v>191</v>
      </c>
      <c r="B93" s="108" t="s">
        <v>36</v>
      </c>
      <c r="C93" s="109" t="s">
        <v>248</v>
      </c>
      <c r="D93" s="108" t="s">
        <v>249</v>
      </c>
    </row>
    <row r="94" spans="1:6" ht="42" customHeight="1">
      <c r="A94" s="184" t="str">
        <f>IF(C94="●","■","□")</f>
        <v>■</v>
      </c>
      <c r="B94" s="185" t="s">
        <v>361</v>
      </c>
      <c r="C94" s="116" t="s">
        <v>399</v>
      </c>
      <c r="D94" s="130" t="s">
        <v>362</v>
      </c>
    </row>
    <row r="95" spans="1:6" ht="19">
      <c r="D95" s="105" t="s">
        <v>363</v>
      </c>
    </row>
  </sheetData>
  <sheetProtection algorithmName="SHA-512" hashValue="fhYozYJGSACNXpx+gY4KJAJEO+oD0CpRa6OjYg5/e8e/k3za5/EtBym/9bC2OXfQt27rpcOc2FwNFLro6Kqvtg==" saltValue="dyWtIt55UoAnT+D28lqasg==" spinCount="100000" sheet="1" selectLockedCells="1"/>
  <mergeCells count="35">
    <mergeCell ref="E19:E21"/>
    <mergeCell ref="F19:F21"/>
    <mergeCell ref="B3:D3"/>
    <mergeCell ref="E9:E11"/>
    <mergeCell ref="F9:F11"/>
    <mergeCell ref="E12:E14"/>
    <mergeCell ref="F12:F14"/>
    <mergeCell ref="E51:E55"/>
    <mergeCell ref="F51:F55"/>
    <mergeCell ref="B55:C55"/>
    <mergeCell ref="E22:E24"/>
    <mergeCell ref="F22:F24"/>
    <mergeCell ref="E29:E31"/>
    <mergeCell ref="F29:F31"/>
    <mergeCell ref="E36:E39"/>
    <mergeCell ref="F36:F39"/>
    <mergeCell ref="E40:E43"/>
    <mergeCell ref="F40:F43"/>
    <mergeCell ref="C42:C43"/>
    <mergeCell ref="E44:E46"/>
    <mergeCell ref="F44:F46"/>
    <mergeCell ref="E56:E59"/>
    <mergeCell ref="F56:F59"/>
    <mergeCell ref="E60:E63"/>
    <mergeCell ref="F60:F63"/>
    <mergeCell ref="E64:E70"/>
    <mergeCell ref="F64:F70"/>
    <mergeCell ref="E87:E89"/>
    <mergeCell ref="F87:F89"/>
    <mergeCell ref="C67:C68"/>
    <mergeCell ref="E75:E79"/>
    <mergeCell ref="F75:F79"/>
    <mergeCell ref="B76:C77"/>
    <mergeCell ref="E84:E86"/>
    <mergeCell ref="F84:F86"/>
  </mergeCells>
  <phoneticPr fontId="2"/>
  <dataValidations count="5">
    <dataValidation type="list" allowBlank="1" showInputMessage="1" showErrorMessage="1" sqref="D55" xr:uid="{AB912E46-1CA5-4AE0-B389-80288DE6BAC2}">
      <formula1>"　, 学会での発表であり、当社名とともに個人名を記載する必要がある, 当社および当社社員の技術力を示す好機となることから当社名および個人名を記載する, その他の理由（コメント欄に理由を記載する）"</formula1>
    </dataValidation>
    <dataValidation type="list" allowBlank="1" showInputMessage="1" showErrorMessage="1" sqref="C94 C69" xr:uid="{EE1B767C-5053-4738-98DB-97968E67516B}">
      <formula1>"○,●"</formula1>
    </dataValidation>
    <dataValidation allowBlank="1" showErrorMessage="1" sqref="C87" xr:uid="{27BF5A3A-3581-46A4-A781-2B8CBC15FF89}"/>
    <dataValidation type="list" allowBlank="1" showErrorMessage="1" sqref="C41:C42 C45:C46 C23:C24 C13:C14 C67 C52:C53 C20:C21 C62:C63 C70 C88:C89 C78:C79 C10:C11 C65" xr:uid="{5E3BEC75-1E22-4431-A404-B0D2C9EEC83A}">
      <formula1>"○,●"</formula1>
    </dataValidation>
    <dataValidation allowBlank="1" showErrorMessage="1" error="チェック結果はメニューから選択して下さい" sqref="A75 A87 A9 A12 A19 A84 A22 A36 A40 A44 A51 A56 A60 A64 A94" xr:uid="{FE67EE51-A917-4537-A7B3-1984C39183A2}"/>
  </dataValidations>
  <hyperlinks>
    <hyperlink ref="D43" r:id="rId1" xr:uid="{48A7EA35-C9AF-40D8-8548-9FB002E192A0}"/>
    <hyperlink ref="D77" r:id="rId2" xr:uid="{01AAFC80-4B82-4755-B936-2B037CD0C61E}"/>
    <hyperlink ref="D57" r:id="rId3" xr:uid="{D8E71A1F-5B3C-4A1D-BCE3-C1861402369A}"/>
    <hyperlink ref="D61" r:id="rId4" xr:uid="{51FDE8A1-7F8C-40FF-8976-0A40A65BFEE7}"/>
  </hyperlinks>
  <pageMargins left="0.70866141732283472" right="0.70866141732283472" top="0.35433070866141736" bottom="0.35433070866141736" header="0.31496062992125984" footer="0.31496062992125984"/>
  <pageSetup paperSize="9" scale="67" fitToHeight="0" orientation="portrait" r:id="rId5"/>
  <rowBreaks count="1" manualBreakCount="1">
    <brk id="80" max="16383"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1287-715A-4CA0-BA3A-D7C5DE4FB78F}">
  <sheetPr>
    <tabColor theme="5"/>
  </sheetPr>
  <dimension ref="A1:K23"/>
  <sheetViews>
    <sheetView topLeftCell="A19" zoomScale="90" zoomScaleNormal="90" workbookViewId="0">
      <selection activeCell="R15" sqref="R15"/>
    </sheetView>
  </sheetViews>
  <sheetFormatPr baseColWidth="10" defaultColWidth="8.83203125" defaultRowHeight="18"/>
  <cols>
    <col min="1" max="2" width="3.1640625" customWidth="1"/>
    <col min="3" max="3" width="12.6640625" bestFit="1" customWidth="1"/>
    <col min="4" max="4" width="97.83203125" customWidth="1"/>
    <col min="5" max="5" width="8.83203125" customWidth="1"/>
    <col min="7" max="7" width="13.5" bestFit="1" customWidth="1"/>
    <col min="8" max="8" width="55.6640625" customWidth="1"/>
    <col min="10" max="16" width="0" hidden="1" customWidth="1"/>
  </cols>
  <sheetData>
    <row r="1" spans="1:11" ht="24">
      <c r="A1" s="265" t="s">
        <v>364</v>
      </c>
      <c r="B1" s="265"/>
      <c r="C1" s="265"/>
      <c r="D1" s="265"/>
      <c r="E1" s="265"/>
      <c r="F1" s="265"/>
      <c r="G1" s="265"/>
    </row>
    <row r="2" spans="1:11">
      <c r="E2" s="1"/>
      <c r="F2" s="1"/>
      <c r="H2" s="211">
        <v>45962</v>
      </c>
    </row>
    <row r="3" spans="1:11">
      <c r="E3" s="1"/>
      <c r="F3" s="1"/>
      <c r="H3" s="2" t="s">
        <v>16</v>
      </c>
    </row>
    <row r="4" spans="1:11">
      <c r="E4" s="1"/>
      <c r="F4" s="1"/>
      <c r="H4" s="2"/>
    </row>
    <row r="6" spans="1:11">
      <c r="B6" s="3" t="s">
        <v>365</v>
      </c>
      <c r="E6" s="212"/>
      <c r="F6" s="212"/>
      <c r="G6" s="212"/>
      <c r="H6" s="212"/>
    </row>
    <row r="7" spans="1:11">
      <c r="A7" s="3"/>
      <c r="B7" s="3"/>
      <c r="C7" s="5" t="s">
        <v>36</v>
      </c>
      <c r="D7" s="5" t="s">
        <v>110</v>
      </c>
      <c r="E7" s="213" t="s">
        <v>37</v>
      </c>
      <c r="F7" s="213" t="s">
        <v>38</v>
      </c>
      <c r="G7" s="213" t="s">
        <v>39</v>
      </c>
      <c r="H7" s="214" t="s">
        <v>40</v>
      </c>
    </row>
    <row r="8" spans="1:11">
      <c r="C8" s="32" t="s">
        <v>41</v>
      </c>
      <c r="D8" s="8" t="s">
        <v>366</v>
      </c>
      <c r="E8" s="215"/>
      <c r="F8" s="215"/>
      <c r="G8" s="215"/>
      <c r="H8" s="216"/>
      <c r="J8" t="b">
        <v>0</v>
      </c>
      <c r="K8" t="b">
        <v>0</v>
      </c>
    </row>
    <row r="9" spans="1:11" ht="38">
      <c r="C9" s="33" t="s">
        <v>43</v>
      </c>
      <c r="D9" s="15" t="s">
        <v>367</v>
      </c>
      <c r="E9" s="217"/>
      <c r="F9" s="217"/>
      <c r="G9" s="217"/>
      <c r="H9" s="216"/>
    </row>
    <row r="10" spans="1:11" ht="38">
      <c r="C10" s="33" t="s">
        <v>45</v>
      </c>
      <c r="D10" s="16" t="s">
        <v>368</v>
      </c>
      <c r="E10" s="217"/>
      <c r="F10" s="217"/>
      <c r="G10" s="217"/>
      <c r="H10" s="216"/>
    </row>
    <row r="11" spans="1:11">
      <c r="C11" s="33" t="s">
        <v>48</v>
      </c>
      <c r="D11" s="17" t="s">
        <v>369</v>
      </c>
      <c r="E11" s="217"/>
      <c r="F11" s="217"/>
      <c r="G11" s="217"/>
      <c r="H11" s="216"/>
    </row>
    <row r="12" spans="1:11">
      <c r="C12" s="33" t="s">
        <v>138</v>
      </c>
      <c r="D12" s="17" t="s">
        <v>370</v>
      </c>
      <c r="E12" s="217"/>
      <c r="F12" s="217"/>
      <c r="G12" s="217"/>
      <c r="H12" s="216"/>
    </row>
    <row r="13" spans="1:11" ht="19">
      <c r="C13" s="33" t="s">
        <v>55</v>
      </c>
      <c r="D13" s="16" t="s">
        <v>371</v>
      </c>
      <c r="E13" s="217"/>
      <c r="F13" s="217"/>
      <c r="G13" s="217"/>
      <c r="H13" s="216"/>
    </row>
    <row r="14" spans="1:11" ht="38">
      <c r="C14" s="33" t="s">
        <v>57</v>
      </c>
      <c r="D14" s="16" t="s">
        <v>372</v>
      </c>
      <c r="E14" s="217"/>
      <c r="F14" s="217"/>
      <c r="G14" s="217"/>
      <c r="H14" s="216"/>
    </row>
    <row r="15" spans="1:11" ht="76">
      <c r="C15" s="34" t="s">
        <v>59</v>
      </c>
      <c r="D15" s="18" t="s">
        <v>373</v>
      </c>
      <c r="E15" s="218"/>
      <c r="F15" s="218"/>
      <c r="G15" s="218"/>
      <c r="H15" s="216"/>
    </row>
    <row r="16" spans="1:11">
      <c r="E16" s="212"/>
      <c r="F16" s="212"/>
      <c r="G16" s="212"/>
      <c r="H16" s="212"/>
    </row>
    <row r="17" spans="1:8">
      <c r="B17" s="3" t="s">
        <v>374</v>
      </c>
      <c r="E17" s="212"/>
      <c r="F17" s="212"/>
      <c r="G17" s="212"/>
      <c r="H17" s="212"/>
    </row>
    <row r="18" spans="1:8">
      <c r="A18" s="3"/>
      <c r="B18" s="3"/>
      <c r="C18" s="5" t="s">
        <v>36</v>
      </c>
      <c r="D18" s="5" t="s">
        <v>110</v>
      </c>
      <c r="E18" s="213" t="s">
        <v>37</v>
      </c>
      <c r="F18" s="213" t="s">
        <v>38</v>
      </c>
      <c r="G18" s="213" t="s">
        <v>39</v>
      </c>
      <c r="H18" s="214" t="s">
        <v>40</v>
      </c>
    </row>
    <row r="19" spans="1:8" ht="57">
      <c r="C19" s="32" t="s">
        <v>41</v>
      </c>
      <c r="D19" s="10" t="s">
        <v>375</v>
      </c>
      <c r="E19" s="215"/>
      <c r="F19" s="215"/>
      <c r="G19" s="215"/>
      <c r="H19" s="216"/>
    </row>
    <row r="20" spans="1:8" ht="57">
      <c r="C20" s="33" t="s">
        <v>43</v>
      </c>
      <c r="D20" s="9" t="s">
        <v>376</v>
      </c>
      <c r="E20" s="217"/>
      <c r="F20" s="217"/>
      <c r="G20" s="217"/>
      <c r="H20" s="216"/>
    </row>
    <row r="21" spans="1:8" ht="57">
      <c r="C21" s="33" t="s">
        <v>45</v>
      </c>
      <c r="D21" s="9" t="s">
        <v>377</v>
      </c>
      <c r="E21" s="217"/>
      <c r="F21" s="217"/>
      <c r="G21" s="217"/>
      <c r="H21" s="216"/>
    </row>
    <row r="22" spans="1:8" ht="152">
      <c r="C22" s="33" t="s">
        <v>48</v>
      </c>
      <c r="D22" s="9" t="s">
        <v>378</v>
      </c>
      <c r="E22" s="217"/>
      <c r="F22" s="217"/>
      <c r="G22" s="217"/>
      <c r="H22" s="216"/>
    </row>
    <row r="23" spans="1:8" ht="133">
      <c r="C23" s="34" t="s">
        <v>138</v>
      </c>
      <c r="D23" s="14" t="s">
        <v>379</v>
      </c>
      <c r="E23" s="218"/>
      <c r="F23" s="218"/>
      <c r="G23" s="218"/>
      <c r="H23" s="216"/>
    </row>
  </sheetData>
  <mergeCells count="1">
    <mergeCell ref="A1:G1"/>
  </mergeCells>
  <phoneticPr fontId="2"/>
  <pageMargins left="0.7" right="0.7" top="0.75" bottom="0.75" header="0.3" footer="0.3"/>
  <pageSetup paperSize="9" orientation="portrait" horizontalDpi="300" verticalDpi="300" r:id="rId1"/>
  <drawing r:id="rId2"/>
  <legacyDrawing r:id="rId3"/>
  <mc:AlternateContent xmlns:mc="http://schemas.openxmlformats.org/markup-compatibility/2006">
    <mc:Choice Requires="x14">
      <controls>
        <mc:AlternateContent xmlns:mc="http://schemas.openxmlformats.org/markup-compatibility/2006">
          <mc:Choice Requires="x14">
            <control shapeId="7522" r:id="rId4" name="Check Box 354">
              <controlPr defaultSize="0" autoFill="0" autoLine="0" autoPict="0">
                <anchor moveWithCells="1">
                  <from>
                    <xdr:col>4</xdr:col>
                    <xdr:colOff>0</xdr:colOff>
                    <xdr:row>7</xdr:row>
                    <xdr:rowOff>0</xdr:rowOff>
                  </from>
                  <to>
                    <xdr:col>5</xdr:col>
                    <xdr:colOff>0</xdr:colOff>
                    <xdr:row>8</xdr:row>
                    <xdr:rowOff>0</xdr:rowOff>
                  </to>
                </anchor>
              </controlPr>
            </control>
          </mc:Choice>
        </mc:AlternateContent>
        <mc:AlternateContent xmlns:mc="http://schemas.openxmlformats.org/markup-compatibility/2006">
          <mc:Choice Requires="x14">
            <control shapeId="7523" r:id="rId5" name="Check Box 355">
              <controlPr defaultSize="0" autoFill="0" autoLine="0" autoPict="0">
                <anchor moveWithCells="1">
                  <from>
                    <xdr:col>5</xdr:col>
                    <xdr:colOff>0</xdr:colOff>
                    <xdr:row>7</xdr:row>
                    <xdr:rowOff>0</xdr:rowOff>
                  </from>
                  <to>
                    <xdr:col>6</xdr:col>
                    <xdr:colOff>0</xdr:colOff>
                    <xdr:row>8</xdr:row>
                    <xdr:rowOff>0</xdr:rowOff>
                  </to>
                </anchor>
              </controlPr>
            </control>
          </mc:Choice>
        </mc:AlternateContent>
        <mc:AlternateContent xmlns:mc="http://schemas.openxmlformats.org/markup-compatibility/2006">
          <mc:Choice Requires="x14">
            <control shapeId="7524" r:id="rId6" name="Check Box 356">
              <controlPr defaultSize="0" autoFill="0" autoLine="0" autoPict="0">
                <anchor moveWithCells="1">
                  <from>
                    <xdr:col>6</xdr:col>
                    <xdr:colOff>0</xdr:colOff>
                    <xdr:row>7</xdr:row>
                    <xdr:rowOff>0</xdr:rowOff>
                  </from>
                  <to>
                    <xdr:col>6</xdr:col>
                    <xdr:colOff>685800</xdr:colOff>
                    <xdr:row>8</xdr:row>
                    <xdr:rowOff>0</xdr:rowOff>
                  </to>
                </anchor>
              </controlPr>
            </control>
          </mc:Choice>
        </mc:AlternateContent>
        <mc:AlternateContent xmlns:mc="http://schemas.openxmlformats.org/markup-compatibility/2006">
          <mc:Choice Requires="x14">
            <control shapeId="7525" r:id="rId7" name="Check Box 357">
              <controlPr defaultSize="0" autoFill="0" autoLine="0" autoPict="0">
                <anchor moveWithCells="1">
                  <from>
                    <xdr:col>4</xdr:col>
                    <xdr:colOff>0</xdr:colOff>
                    <xdr:row>7</xdr:row>
                    <xdr:rowOff>228600</xdr:rowOff>
                  </from>
                  <to>
                    <xdr:col>5</xdr:col>
                    <xdr:colOff>0</xdr:colOff>
                    <xdr:row>9</xdr:row>
                    <xdr:rowOff>0</xdr:rowOff>
                  </to>
                </anchor>
              </controlPr>
            </control>
          </mc:Choice>
        </mc:AlternateContent>
        <mc:AlternateContent xmlns:mc="http://schemas.openxmlformats.org/markup-compatibility/2006">
          <mc:Choice Requires="x14">
            <control shapeId="7526" r:id="rId8" name="Check Box 358">
              <controlPr defaultSize="0" autoFill="0" autoLine="0" autoPict="0">
                <anchor moveWithCells="1">
                  <from>
                    <xdr:col>5</xdr:col>
                    <xdr:colOff>0</xdr:colOff>
                    <xdr:row>7</xdr:row>
                    <xdr:rowOff>228600</xdr:rowOff>
                  </from>
                  <to>
                    <xdr:col>6</xdr:col>
                    <xdr:colOff>0</xdr:colOff>
                    <xdr:row>9</xdr:row>
                    <xdr:rowOff>0</xdr:rowOff>
                  </to>
                </anchor>
              </controlPr>
            </control>
          </mc:Choice>
        </mc:AlternateContent>
        <mc:AlternateContent xmlns:mc="http://schemas.openxmlformats.org/markup-compatibility/2006">
          <mc:Choice Requires="x14">
            <control shapeId="7528" r:id="rId9" name="Check Box 360">
              <controlPr defaultSize="0" autoFill="0" autoLine="0" autoPict="0">
                <anchor moveWithCells="1">
                  <from>
                    <xdr:col>6</xdr:col>
                    <xdr:colOff>0</xdr:colOff>
                    <xdr:row>7</xdr:row>
                    <xdr:rowOff>228600</xdr:rowOff>
                  </from>
                  <to>
                    <xdr:col>6</xdr:col>
                    <xdr:colOff>685800</xdr:colOff>
                    <xdr:row>9</xdr:row>
                    <xdr:rowOff>0</xdr:rowOff>
                  </to>
                </anchor>
              </controlPr>
            </control>
          </mc:Choice>
        </mc:AlternateContent>
        <mc:AlternateContent xmlns:mc="http://schemas.openxmlformats.org/markup-compatibility/2006">
          <mc:Choice Requires="x14">
            <control shapeId="7529" r:id="rId10" name="Check Box 361">
              <controlPr defaultSize="0" autoFill="0" autoLine="0" autoPict="0">
                <anchor moveWithCells="1">
                  <from>
                    <xdr:col>4</xdr:col>
                    <xdr:colOff>0</xdr:colOff>
                    <xdr:row>9</xdr:row>
                    <xdr:rowOff>0</xdr:rowOff>
                  </from>
                  <to>
                    <xdr:col>5</xdr:col>
                    <xdr:colOff>0</xdr:colOff>
                    <xdr:row>10</xdr:row>
                    <xdr:rowOff>0</xdr:rowOff>
                  </to>
                </anchor>
              </controlPr>
            </control>
          </mc:Choice>
        </mc:AlternateContent>
        <mc:AlternateContent xmlns:mc="http://schemas.openxmlformats.org/markup-compatibility/2006">
          <mc:Choice Requires="x14">
            <control shapeId="7530" r:id="rId11" name="Check Box 362">
              <controlPr defaultSize="0" autoFill="0" autoLine="0" autoPict="0">
                <anchor moveWithCells="1">
                  <from>
                    <xdr:col>5</xdr:col>
                    <xdr:colOff>0</xdr:colOff>
                    <xdr:row>9</xdr:row>
                    <xdr:rowOff>0</xdr:rowOff>
                  </from>
                  <to>
                    <xdr:col>6</xdr:col>
                    <xdr:colOff>0</xdr:colOff>
                    <xdr:row>10</xdr:row>
                    <xdr:rowOff>0</xdr:rowOff>
                  </to>
                </anchor>
              </controlPr>
            </control>
          </mc:Choice>
        </mc:AlternateContent>
        <mc:AlternateContent xmlns:mc="http://schemas.openxmlformats.org/markup-compatibility/2006">
          <mc:Choice Requires="x14">
            <control shapeId="7531" r:id="rId12" name="Check Box 363">
              <controlPr defaultSize="0" autoFill="0" autoLine="0" autoPict="0">
                <anchor moveWithCells="1">
                  <from>
                    <xdr:col>6</xdr:col>
                    <xdr:colOff>0</xdr:colOff>
                    <xdr:row>9</xdr:row>
                    <xdr:rowOff>0</xdr:rowOff>
                  </from>
                  <to>
                    <xdr:col>6</xdr:col>
                    <xdr:colOff>685800</xdr:colOff>
                    <xdr:row>10</xdr:row>
                    <xdr:rowOff>0</xdr:rowOff>
                  </to>
                </anchor>
              </controlPr>
            </control>
          </mc:Choice>
        </mc:AlternateContent>
        <mc:AlternateContent xmlns:mc="http://schemas.openxmlformats.org/markup-compatibility/2006">
          <mc:Choice Requires="x14">
            <control shapeId="7532" r:id="rId13" name="Check Box 364">
              <controlPr defaultSize="0" autoFill="0" autoLine="0" autoPict="0">
                <anchor moveWithCells="1">
                  <from>
                    <xdr:col>4</xdr:col>
                    <xdr:colOff>0</xdr:colOff>
                    <xdr:row>10</xdr:row>
                    <xdr:rowOff>0</xdr:rowOff>
                  </from>
                  <to>
                    <xdr:col>5</xdr:col>
                    <xdr:colOff>0</xdr:colOff>
                    <xdr:row>11</xdr:row>
                    <xdr:rowOff>0</xdr:rowOff>
                  </to>
                </anchor>
              </controlPr>
            </control>
          </mc:Choice>
        </mc:AlternateContent>
        <mc:AlternateContent xmlns:mc="http://schemas.openxmlformats.org/markup-compatibility/2006">
          <mc:Choice Requires="x14">
            <control shapeId="7533" r:id="rId14" name="Check Box 365">
              <controlPr defaultSize="0" autoFill="0" autoLine="0" autoPict="0">
                <anchor moveWithCells="1">
                  <from>
                    <xdr:col>5</xdr:col>
                    <xdr:colOff>0</xdr:colOff>
                    <xdr:row>10</xdr:row>
                    <xdr:rowOff>0</xdr:rowOff>
                  </from>
                  <to>
                    <xdr:col>6</xdr:col>
                    <xdr:colOff>0</xdr:colOff>
                    <xdr:row>11</xdr:row>
                    <xdr:rowOff>0</xdr:rowOff>
                  </to>
                </anchor>
              </controlPr>
            </control>
          </mc:Choice>
        </mc:AlternateContent>
        <mc:AlternateContent xmlns:mc="http://schemas.openxmlformats.org/markup-compatibility/2006">
          <mc:Choice Requires="x14">
            <control shapeId="7534" r:id="rId15" name="Check Box 366">
              <controlPr defaultSize="0" autoFill="0" autoLine="0" autoPict="0">
                <anchor moveWithCells="1">
                  <from>
                    <xdr:col>6</xdr:col>
                    <xdr:colOff>0</xdr:colOff>
                    <xdr:row>10</xdr:row>
                    <xdr:rowOff>0</xdr:rowOff>
                  </from>
                  <to>
                    <xdr:col>6</xdr:col>
                    <xdr:colOff>685800</xdr:colOff>
                    <xdr:row>11</xdr:row>
                    <xdr:rowOff>0</xdr:rowOff>
                  </to>
                </anchor>
              </controlPr>
            </control>
          </mc:Choice>
        </mc:AlternateContent>
        <mc:AlternateContent xmlns:mc="http://schemas.openxmlformats.org/markup-compatibility/2006">
          <mc:Choice Requires="x14">
            <control shapeId="7535" r:id="rId16" name="Check Box 367">
              <controlPr defaultSize="0" autoFill="0" autoLine="0" autoPict="0">
                <anchor moveWithCells="1">
                  <from>
                    <xdr:col>4</xdr:col>
                    <xdr:colOff>0</xdr:colOff>
                    <xdr:row>11</xdr:row>
                    <xdr:rowOff>0</xdr:rowOff>
                  </from>
                  <to>
                    <xdr:col>5</xdr:col>
                    <xdr:colOff>0</xdr:colOff>
                    <xdr:row>12</xdr:row>
                    <xdr:rowOff>0</xdr:rowOff>
                  </to>
                </anchor>
              </controlPr>
            </control>
          </mc:Choice>
        </mc:AlternateContent>
        <mc:AlternateContent xmlns:mc="http://schemas.openxmlformats.org/markup-compatibility/2006">
          <mc:Choice Requires="x14">
            <control shapeId="7536" r:id="rId17" name="Check Box 368">
              <controlPr defaultSize="0" autoFill="0" autoLine="0" autoPict="0">
                <anchor moveWithCells="1">
                  <from>
                    <xdr:col>5</xdr:col>
                    <xdr:colOff>0</xdr:colOff>
                    <xdr:row>11</xdr:row>
                    <xdr:rowOff>0</xdr:rowOff>
                  </from>
                  <to>
                    <xdr:col>6</xdr:col>
                    <xdr:colOff>0</xdr:colOff>
                    <xdr:row>12</xdr:row>
                    <xdr:rowOff>0</xdr:rowOff>
                  </to>
                </anchor>
              </controlPr>
            </control>
          </mc:Choice>
        </mc:AlternateContent>
        <mc:AlternateContent xmlns:mc="http://schemas.openxmlformats.org/markup-compatibility/2006">
          <mc:Choice Requires="x14">
            <control shapeId="7537" r:id="rId18" name="Check Box 369">
              <controlPr defaultSize="0" autoFill="0" autoLine="0" autoPict="0">
                <anchor moveWithCells="1">
                  <from>
                    <xdr:col>6</xdr:col>
                    <xdr:colOff>0</xdr:colOff>
                    <xdr:row>11</xdr:row>
                    <xdr:rowOff>0</xdr:rowOff>
                  </from>
                  <to>
                    <xdr:col>6</xdr:col>
                    <xdr:colOff>685800</xdr:colOff>
                    <xdr:row>12</xdr:row>
                    <xdr:rowOff>0</xdr:rowOff>
                  </to>
                </anchor>
              </controlPr>
            </control>
          </mc:Choice>
        </mc:AlternateContent>
        <mc:AlternateContent xmlns:mc="http://schemas.openxmlformats.org/markup-compatibility/2006">
          <mc:Choice Requires="x14">
            <control shapeId="7538" r:id="rId19" name="Check Box 370">
              <controlPr defaultSize="0" autoFill="0" autoLine="0" autoPict="0">
                <anchor moveWithCells="1">
                  <from>
                    <xdr:col>4</xdr:col>
                    <xdr:colOff>0</xdr:colOff>
                    <xdr:row>12</xdr:row>
                    <xdr:rowOff>0</xdr:rowOff>
                  </from>
                  <to>
                    <xdr:col>5</xdr:col>
                    <xdr:colOff>0</xdr:colOff>
                    <xdr:row>13</xdr:row>
                    <xdr:rowOff>0</xdr:rowOff>
                  </to>
                </anchor>
              </controlPr>
            </control>
          </mc:Choice>
        </mc:AlternateContent>
        <mc:AlternateContent xmlns:mc="http://schemas.openxmlformats.org/markup-compatibility/2006">
          <mc:Choice Requires="x14">
            <control shapeId="7539" r:id="rId20" name="Check Box 371">
              <controlPr defaultSize="0" autoFill="0" autoLine="0" autoPict="0">
                <anchor moveWithCells="1">
                  <from>
                    <xdr:col>5</xdr:col>
                    <xdr:colOff>0</xdr:colOff>
                    <xdr:row>12</xdr:row>
                    <xdr:rowOff>0</xdr:rowOff>
                  </from>
                  <to>
                    <xdr:col>6</xdr:col>
                    <xdr:colOff>0</xdr:colOff>
                    <xdr:row>13</xdr:row>
                    <xdr:rowOff>0</xdr:rowOff>
                  </to>
                </anchor>
              </controlPr>
            </control>
          </mc:Choice>
        </mc:AlternateContent>
        <mc:AlternateContent xmlns:mc="http://schemas.openxmlformats.org/markup-compatibility/2006">
          <mc:Choice Requires="x14">
            <control shapeId="7540" r:id="rId21" name="Check Box 372">
              <controlPr defaultSize="0" autoFill="0" autoLine="0" autoPict="0">
                <anchor moveWithCells="1">
                  <from>
                    <xdr:col>6</xdr:col>
                    <xdr:colOff>0</xdr:colOff>
                    <xdr:row>12</xdr:row>
                    <xdr:rowOff>0</xdr:rowOff>
                  </from>
                  <to>
                    <xdr:col>6</xdr:col>
                    <xdr:colOff>685800</xdr:colOff>
                    <xdr:row>13</xdr:row>
                    <xdr:rowOff>0</xdr:rowOff>
                  </to>
                </anchor>
              </controlPr>
            </control>
          </mc:Choice>
        </mc:AlternateContent>
        <mc:AlternateContent xmlns:mc="http://schemas.openxmlformats.org/markup-compatibility/2006">
          <mc:Choice Requires="x14">
            <control shapeId="7541" r:id="rId22" name="Check Box 373">
              <controlPr defaultSize="0" autoFill="0" autoLine="0" autoPict="0">
                <anchor moveWithCells="1">
                  <from>
                    <xdr:col>4</xdr:col>
                    <xdr:colOff>0</xdr:colOff>
                    <xdr:row>12</xdr:row>
                    <xdr:rowOff>228600</xdr:rowOff>
                  </from>
                  <to>
                    <xdr:col>5</xdr:col>
                    <xdr:colOff>0</xdr:colOff>
                    <xdr:row>14</xdr:row>
                    <xdr:rowOff>0</xdr:rowOff>
                  </to>
                </anchor>
              </controlPr>
            </control>
          </mc:Choice>
        </mc:AlternateContent>
        <mc:AlternateContent xmlns:mc="http://schemas.openxmlformats.org/markup-compatibility/2006">
          <mc:Choice Requires="x14">
            <control shapeId="7542" r:id="rId23" name="Check Box 374">
              <controlPr defaultSize="0" autoFill="0" autoLine="0" autoPict="0">
                <anchor moveWithCells="1">
                  <from>
                    <xdr:col>5</xdr:col>
                    <xdr:colOff>0</xdr:colOff>
                    <xdr:row>12</xdr:row>
                    <xdr:rowOff>228600</xdr:rowOff>
                  </from>
                  <to>
                    <xdr:col>6</xdr:col>
                    <xdr:colOff>0</xdr:colOff>
                    <xdr:row>14</xdr:row>
                    <xdr:rowOff>0</xdr:rowOff>
                  </to>
                </anchor>
              </controlPr>
            </control>
          </mc:Choice>
        </mc:AlternateContent>
        <mc:AlternateContent xmlns:mc="http://schemas.openxmlformats.org/markup-compatibility/2006">
          <mc:Choice Requires="x14">
            <control shapeId="7543" r:id="rId24" name="Check Box 375">
              <controlPr defaultSize="0" autoFill="0" autoLine="0" autoPict="0">
                <anchor moveWithCells="1">
                  <from>
                    <xdr:col>6</xdr:col>
                    <xdr:colOff>0</xdr:colOff>
                    <xdr:row>12</xdr:row>
                    <xdr:rowOff>228600</xdr:rowOff>
                  </from>
                  <to>
                    <xdr:col>6</xdr:col>
                    <xdr:colOff>685800</xdr:colOff>
                    <xdr:row>14</xdr:row>
                    <xdr:rowOff>0</xdr:rowOff>
                  </to>
                </anchor>
              </controlPr>
            </control>
          </mc:Choice>
        </mc:AlternateContent>
        <mc:AlternateContent xmlns:mc="http://schemas.openxmlformats.org/markup-compatibility/2006">
          <mc:Choice Requires="x14">
            <control shapeId="7544" r:id="rId25" name="Check Box 376">
              <controlPr defaultSize="0" autoFill="0" autoLine="0" autoPict="0">
                <anchor moveWithCells="1">
                  <from>
                    <xdr:col>4</xdr:col>
                    <xdr:colOff>0</xdr:colOff>
                    <xdr:row>14</xdr:row>
                    <xdr:rowOff>0</xdr:rowOff>
                  </from>
                  <to>
                    <xdr:col>5</xdr:col>
                    <xdr:colOff>0</xdr:colOff>
                    <xdr:row>15</xdr:row>
                    <xdr:rowOff>0</xdr:rowOff>
                  </to>
                </anchor>
              </controlPr>
            </control>
          </mc:Choice>
        </mc:AlternateContent>
        <mc:AlternateContent xmlns:mc="http://schemas.openxmlformats.org/markup-compatibility/2006">
          <mc:Choice Requires="x14">
            <control shapeId="7545" r:id="rId26" name="Check Box 377">
              <controlPr defaultSize="0" autoFill="0" autoLine="0" autoPict="0">
                <anchor moveWithCells="1">
                  <from>
                    <xdr:col>5</xdr:col>
                    <xdr:colOff>0</xdr:colOff>
                    <xdr:row>14</xdr:row>
                    <xdr:rowOff>0</xdr:rowOff>
                  </from>
                  <to>
                    <xdr:col>6</xdr:col>
                    <xdr:colOff>0</xdr:colOff>
                    <xdr:row>15</xdr:row>
                    <xdr:rowOff>0</xdr:rowOff>
                  </to>
                </anchor>
              </controlPr>
            </control>
          </mc:Choice>
        </mc:AlternateContent>
        <mc:AlternateContent xmlns:mc="http://schemas.openxmlformats.org/markup-compatibility/2006">
          <mc:Choice Requires="x14">
            <control shapeId="7546" r:id="rId27" name="Check Box 378">
              <controlPr defaultSize="0" autoFill="0" autoLine="0" autoPict="0">
                <anchor moveWithCells="1">
                  <from>
                    <xdr:col>6</xdr:col>
                    <xdr:colOff>0</xdr:colOff>
                    <xdr:row>14</xdr:row>
                    <xdr:rowOff>0</xdr:rowOff>
                  </from>
                  <to>
                    <xdr:col>6</xdr:col>
                    <xdr:colOff>685800</xdr:colOff>
                    <xdr:row>15</xdr:row>
                    <xdr:rowOff>0</xdr:rowOff>
                  </to>
                </anchor>
              </controlPr>
            </control>
          </mc:Choice>
        </mc:AlternateContent>
        <mc:AlternateContent xmlns:mc="http://schemas.openxmlformats.org/markup-compatibility/2006">
          <mc:Choice Requires="x14">
            <control shapeId="7547" r:id="rId28" name="Check Box 379">
              <controlPr defaultSize="0" autoFill="0" autoLine="0" autoPict="0">
                <anchor moveWithCells="1">
                  <from>
                    <xdr:col>4</xdr:col>
                    <xdr:colOff>0</xdr:colOff>
                    <xdr:row>18</xdr:row>
                    <xdr:rowOff>0</xdr:rowOff>
                  </from>
                  <to>
                    <xdr:col>5</xdr:col>
                    <xdr:colOff>0</xdr:colOff>
                    <xdr:row>19</xdr:row>
                    <xdr:rowOff>0</xdr:rowOff>
                  </to>
                </anchor>
              </controlPr>
            </control>
          </mc:Choice>
        </mc:AlternateContent>
        <mc:AlternateContent xmlns:mc="http://schemas.openxmlformats.org/markup-compatibility/2006">
          <mc:Choice Requires="x14">
            <control shapeId="7548" r:id="rId29" name="Check Box 380">
              <controlPr defaultSize="0" autoFill="0" autoLine="0" autoPict="0">
                <anchor moveWithCells="1">
                  <from>
                    <xdr:col>5</xdr:col>
                    <xdr:colOff>0</xdr:colOff>
                    <xdr:row>18</xdr:row>
                    <xdr:rowOff>0</xdr:rowOff>
                  </from>
                  <to>
                    <xdr:col>6</xdr:col>
                    <xdr:colOff>0</xdr:colOff>
                    <xdr:row>19</xdr:row>
                    <xdr:rowOff>0</xdr:rowOff>
                  </to>
                </anchor>
              </controlPr>
            </control>
          </mc:Choice>
        </mc:AlternateContent>
        <mc:AlternateContent xmlns:mc="http://schemas.openxmlformats.org/markup-compatibility/2006">
          <mc:Choice Requires="x14">
            <control shapeId="7549" r:id="rId30" name="Check Box 381">
              <controlPr defaultSize="0" autoFill="0" autoLine="0" autoPict="0">
                <anchor moveWithCells="1">
                  <from>
                    <xdr:col>6</xdr:col>
                    <xdr:colOff>0</xdr:colOff>
                    <xdr:row>18</xdr:row>
                    <xdr:rowOff>0</xdr:rowOff>
                  </from>
                  <to>
                    <xdr:col>6</xdr:col>
                    <xdr:colOff>685800</xdr:colOff>
                    <xdr:row>19</xdr:row>
                    <xdr:rowOff>0</xdr:rowOff>
                  </to>
                </anchor>
              </controlPr>
            </control>
          </mc:Choice>
        </mc:AlternateContent>
        <mc:AlternateContent xmlns:mc="http://schemas.openxmlformats.org/markup-compatibility/2006">
          <mc:Choice Requires="x14">
            <control shapeId="7550" r:id="rId31" name="Check Box 382">
              <controlPr defaultSize="0" autoFill="0" autoLine="0" autoPict="0">
                <anchor moveWithCells="1">
                  <from>
                    <xdr:col>4</xdr:col>
                    <xdr:colOff>0</xdr:colOff>
                    <xdr:row>18</xdr:row>
                    <xdr:rowOff>685800</xdr:rowOff>
                  </from>
                  <to>
                    <xdr:col>5</xdr:col>
                    <xdr:colOff>0</xdr:colOff>
                    <xdr:row>20</xdr:row>
                    <xdr:rowOff>0</xdr:rowOff>
                  </to>
                </anchor>
              </controlPr>
            </control>
          </mc:Choice>
        </mc:AlternateContent>
        <mc:AlternateContent xmlns:mc="http://schemas.openxmlformats.org/markup-compatibility/2006">
          <mc:Choice Requires="x14">
            <control shapeId="7551" r:id="rId32" name="Check Box 383">
              <controlPr defaultSize="0" autoFill="0" autoLine="0" autoPict="0">
                <anchor moveWithCells="1">
                  <from>
                    <xdr:col>5</xdr:col>
                    <xdr:colOff>0</xdr:colOff>
                    <xdr:row>18</xdr:row>
                    <xdr:rowOff>685800</xdr:rowOff>
                  </from>
                  <to>
                    <xdr:col>6</xdr:col>
                    <xdr:colOff>0</xdr:colOff>
                    <xdr:row>20</xdr:row>
                    <xdr:rowOff>0</xdr:rowOff>
                  </to>
                </anchor>
              </controlPr>
            </control>
          </mc:Choice>
        </mc:AlternateContent>
        <mc:AlternateContent xmlns:mc="http://schemas.openxmlformats.org/markup-compatibility/2006">
          <mc:Choice Requires="x14">
            <control shapeId="7552" r:id="rId33" name="Check Box 384">
              <controlPr defaultSize="0" autoFill="0" autoLine="0" autoPict="0">
                <anchor moveWithCells="1">
                  <from>
                    <xdr:col>6</xdr:col>
                    <xdr:colOff>0</xdr:colOff>
                    <xdr:row>18</xdr:row>
                    <xdr:rowOff>685800</xdr:rowOff>
                  </from>
                  <to>
                    <xdr:col>6</xdr:col>
                    <xdr:colOff>685800</xdr:colOff>
                    <xdr:row>20</xdr:row>
                    <xdr:rowOff>0</xdr:rowOff>
                  </to>
                </anchor>
              </controlPr>
            </control>
          </mc:Choice>
        </mc:AlternateContent>
        <mc:AlternateContent xmlns:mc="http://schemas.openxmlformats.org/markup-compatibility/2006">
          <mc:Choice Requires="x14">
            <control shapeId="7553" r:id="rId34" name="Check Box 385">
              <controlPr defaultSize="0" autoFill="0" autoLine="0" autoPict="0">
                <anchor moveWithCells="1">
                  <from>
                    <xdr:col>4</xdr:col>
                    <xdr:colOff>0</xdr:colOff>
                    <xdr:row>20</xdr:row>
                    <xdr:rowOff>0</xdr:rowOff>
                  </from>
                  <to>
                    <xdr:col>5</xdr:col>
                    <xdr:colOff>0</xdr:colOff>
                    <xdr:row>21</xdr:row>
                    <xdr:rowOff>0</xdr:rowOff>
                  </to>
                </anchor>
              </controlPr>
            </control>
          </mc:Choice>
        </mc:AlternateContent>
        <mc:AlternateContent xmlns:mc="http://schemas.openxmlformats.org/markup-compatibility/2006">
          <mc:Choice Requires="x14">
            <control shapeId="7554" r:id="rId35" name="Check Box 386">
              <controlPr defaultSize="0" autoFill="0" autoLine="0" autoPict="0">
                <anchor moveWithCells="1">
                  <from>
                    <xdr:col>5</xdr:col>
                    <xdr:colOff>0</xdr:colOff>
                    <xdr:row>20</xdr:row>
                    <xdr:rowOff>0</xdr:rowOff>
                  </from>
                  <to>
                    <xdr:col>6</xdr:col>
                    <xdr:colOff>0</xdr:colOff>
                    <xdr:row>21</xdr:row>
                    <xdr:rowOff>0</xdr:rowOff>
                  </to>
                </anchor>
              </controlPr>
            </control>
          </mc:Choice>
        </mc:AlternateContent>
        <mc:AlternateContent xmlns:mc="http://schemas.openxmlformats.org/markup-compatibility/2006">
          <mc:Choice Requires="x14">
            <control shapeId="7555" r:id="rId36" name="Check Box 387">
              <controlPr defaultSize="0" autoFill="0" autoLine="0" autoPict="0">
                <anchor moveWithCells="1">
                  <from>
                    <xdr:col>6</xdr:col>
                    <xdr:colOff>0</xdr:colOff>
                    <xdr:row>20</xdr:row>
                    <xdr:rowOff>0</xdr:rowOff>
                  </from>
                  <to>
                    <xdr:col>6</xdr:col>
                    <xdr:colOff>685800</xdr:colOff>
                    <xdr:row>21</xdr:row>
                    <xdr:rowOff>0</xdr:rowOff>
                  </to>
                </anchor>
              </controlPr>
            </control>
          </mc:Choice>
        </mc:AlternateContent>
        <mc:AlternateContent xmlns:mc="http://schemas.openxmlformats.org/markup-compatibility/2006">
          <mc:Choice Requires="x14">
            <control shapeId="7556" r:id="rId37" name="Check Box 388">
              <controlPr defaultSize="0" autoFill="0" autoLine="0" autoPict="0">
                <anchor moveWithCells="1">
                  <from>
                    <xdr:col>4</xdr:col>
                    <xdr:colOff>0</xdr:colOff>
                    <xdr:row>21</xdr:row>
                    <xdr:rowOff>0</xdr:rowOff>
                  </from>
                  <to>
                    <xdr:col>5</xdr:col>
                    <xdr:colOff>0</xdr:colOff>
                    <xdr:row>22</xdr:row>
                    <xdr:rowOff>0</xdr:rowOff>
                  </to>
                </anchor>
              </controlPr>
            </control>
          </mc:Choice>
        </mc:AlternateContent>
        <mc:AlternateContent xmlns:mc="http://schemas.openxmlformats.org/markup-compatibility/2006">
          <mc:Choice Requires="x14">
            <control shapeId="7557" r:id="rId38" name="Check Box 389">
              <controlPr defaultSize="0" autoFill="0" autoLine="0" autoPict="0">
                <anchor moveWithCells="1">
                  <from>
                    <xdr:col>5</xdr:col>
                    <xdr:colOff>0</xdr:colOff>
                    <xdr:row>21</xdr:row>
                    <xdr:rowOff>0</xdr:rowOff>
                  </from>
                  <to>
                    <xdr:col>6</xdr:col>
                    <xdr:colOff>0</xdr:colOff>
                    <xdr:row>22</xdr:row>
                    <xdr:rowOff>0</xdr:rowOff>
                  </to>
                </anchor>
              </controlPr>
            </control>
          </mc:Choice>
        </mc:AlternateContent>
        <mc:AlternateContent xmlns:mc="http://schemas.openxmlformats.org/markup-compatibility/2006">
          <mc:Choice Requires="x14">
            <control shapeId="7558" r:id="rId39" name="Check Box 390">
              <controlPr defaultSize="0" autoFill="0" autoLine="0" autoPict="0">
                <anchor moveWithCells="1">
                  <from>
                    <xdr:col>6</xdr:col>
                    <xdr:colOff>0</xdr:colOff>
                    <xdr:row>21</xdr:row>
                    <xdr:rowOff>0</xdr:rowOff>
                  </from>
                  <to>
                    <xdr:col>6</xdr:col>
                    <xdr:colOff>685800</xdr:colOff>
                    <xdr:row>22</xdr:row>
                    <xdr:rowOff>0</xdr:rowOff>
                  </to>
                </anchor>
              </controlPr>
            </control>
          </mc:Choice>
        </mc:AlternateContent>
        <mc:AlternateContent xmlns:mc="http://schemas.openxmlformats.org/markup-compatibility/2006">
          <mc:Choice Requires="x14">
            <control shapeId="7559" r:id="rId40" name="Check Box 391">
              <controlPr defaultSize="0" autoFill="0" autoLine="0" autoPict="0">
                <anchor moveWithCells="1">
                  <from>
                    <xdr:col>4</xdr:col>
                    <xdr:colOff>0</xdr:colOff>
                    <xdr:row>21</xdr:row>
                    <xdr:rowOff>1828800</xdr:rowOff>
                  </from>
                  <to>
                    <xdr:col>5</xdr:col>
                    <xdr:colOff>0</xdr:colOff>
                    <xdr:row>23</xdr:row>
                    <xdr:rowOff>0</xdr:rowOff>
                  </to>
                </anchor>
              </controlPr>
            </control>
          </mc:Choice>
        </mc:AlternateContent>
        <mc:AlternateContent xmlns:mc="http://schemas.openxmlformats.org/markup-compatibility/2006">
          <mc:Choice Requires="x14">
            <control shapeId="7560" r:id="rId41" name="Check Box 392">
              <controlPr defaultSize="0" autoFill="0" autoLine="0" autoPict="0">
                <anchor moveWithCells="1">
                  <from>
                    <xdr:col>5</xdr:col>
                    <xdr:colOff>0</xdr:colOff>
                    <xdr:row>21</xdr:row>
                    <xdr:rowOff>1828800</xdr:rowOff>
                  </from>
                  <to>
                    <xdr:col>6</xdr:col>
                    <xdr:colOff>0</xdr:colOff>
                    <xdr:row>23</xdr:row>
                    <xdr:rowOff>0</xdr:rowOff>
                  </to>
                </anchor>
              </controlPr>
            </control>
          </mc:Choice>
        </mc:AlternateContent>
        <mc:AlternateContent xmlns:mc="http://schemas.openxmlformats.org/markup-compatibility/2006">
          <mc:Choice Requires="x14">
            <control shapeId="7561" r:id="rId42" name="Check Box 393">
              <controlPr defaultSize="0" autoFill="0" autoLine="0" autoPict="0">
                <anchor moveWithCells="1">
                  <from>
                    <xdr:col>6</xdr:col>
                    <xdr:colOff>0</xdr:colOff>
                    <xdr:row>21</xdr:row>
                    <xdr:rowOff>1828800</xdr:rowOff>
                  </from>
                  <to>
                    <xdr:col>6</xdr:col>
                    <xdr:colOff>685800</xdr:colOff>
                    <xdr:row>23</xdr:row>
                    <xdr:rowOff>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BFD99-B515-478C-9BBB-40531CF6BC47}">
  <dimension ref="B2:D9"/>
  <sheetViews>
    <sheetView workbookViewId="0">
      <selection activeCell="D12" sqref="D12"/>
    </sheetView>
  </sheetViews>
  <sheetFormatPr baseColWidth="10" defaultColWidth="8.83203125" defaultRowHeight="18"/>
  <cols>
    <col min="2" max="2" width="8.83203125" customWidth="1"/>
    <col min="3" max="3" width="10.6640625" customWidth="1"/>
    <col min="4" max="4" width="49.1640625" customWidth="1"/>
  </cols>
  <sheetData>
    <row r="2" spans="2:4">
      <c r="B2" s="188" t="s">
        <v>380</v>
      </c>
      <c r="C2" s="188" t="s">
        <v>381</v>
      </c>
      <c r="D2" s="188" t="s">
        <v>382</v>
      </c>
    </row>
    <row r="3" spans="2:4">
      <c r="B3" s="4" t="s">
        <v>383</v>
      </c>
      <c r="C3" s="4">
        <v>1</v>
      </c>
      <c r="D3" s="4" t="s">
        <v>384</v>
      </c>
    </row>
    <row r="4" spans="2:4" ht="57">
      <c r="B4" s="4" t="s">
        <v>385</v>
      </c>
      <c r="C4" s="4">
        <v>1.1000000000000001</v>
      </c>
      <c r="D4" s="187" t="s">
        <v>386</v>
      </c>
    </row>
    <row r="5" spans="2:4">
      <c r="B5" s="4"/>
      <c r="C5" s="4"/>
      <c r="D5" s="4"/>
    </row>
    <row r="6" spans="2:4">
      <c r="B6" s="4"/>
      <c r="C6" s="4"/>
      <c r="D6" s="4"/>
    </row>
    <row r="7" spans="2:4">
      <c r="B7" s="4"/>
      <c r="C7" s="4"/>
      <c r="D7" s="4"/>
    </row>
    <row r="8" spans="2:4">
      <c r="B8" s="4"/>
      <c r="C8" s="4"/>
      <c r="D8" s="4"/>
    </row>
    <row r="9" spans="2:4">
      <c r="B9" s="4"/>
      <c r="C9" s="4"/>
      <c r="D9" s="4"/>
    </row>
  </sheetData>
  <sheetProtection algorithmName="SHA-512" hashValue="18yTfUOVQApy9suLzXzV5Id7mxKJyZp81w04FaEdTd62ootYsF4piXHO0A+0slpXmH3CpHzAD/yMSo11+xKKdw==" saltValue="ERpg9WsvnxcHGaiKuq80GQ==" spinCount="100000" sheet="1" objects="1" scenarios="1"/>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acabab8-d213-4fa0-b202-a7928f5d4b81">
      <Terms xmlns="http://schemas.microsoft.com/office/infopath/2007/PartnerControls"/>
    </lcf76f155ced4ddcb4097134ff3c332f>
    <TaxCatchAll xmlns="043f7a86-140f-4cc5-90a5-b64a6d07787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7BFA6B8B9CC4747AAF9752AFAD54A8B" ma:contentTypeVersion="11" ma:contentTypeDescription="新しいドキュメントを作成します。" ma:contentTypeScope="" ma:versionID="5bde74d34400b6cd264a255ce0baa5b1">
  <xsd:schema xmlns:xsd="http://www.w3.org/2001/XMLSchema" xmlns:xs="http://www.w3.org/2001/XMLSchema" xmlns:p="http://schemas.microsoft.com/office/2006/metadata/properties" xmlns:ns2="7acabab8-d213-4fa0-b202-a7928f5d4b81" xmlns:ns3="043f7a86-140f-4cc5-90a5-b64a6d077877" targetNamespace="http://schemas.microsoft.com/office/2006/metadata/properties" ma:root="true" ma:fieldsID="77ee1d89f759146d7e025a16810c05fa" ns2:_="" ns3:_="">
    <xsd:import namespace="7acabab8-d213-4fa0-b202-a7928f5d4b81"/>
    <xsd:import namespace="043f7a86-140f-4cc5-90a5-b64a6d07787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cabab8-d213-4fa0-b202-a7928f5d4b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5ed0d1dd-baf2-4d0e-82fd-bc65b85ad8c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43f7a86-140f-4cc5-90a5-b64a6d07787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68fd6ab-273b-428a-b058-9b3d505274ce}" ma:internalName="TaxCatchAll" ma:showField="CatchAllData" ma:web="043f7a86-140f-4cc5-90a5-b64a6d07787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7F2C870-0D30-424F-9330-FE84FB738318}">
  <ds:schemaRefs>
    <ds:schemaRef ds:uri="http://schemas.microsoft.com/sharepoint/v3/contenttype/forms"/>
  </ds:schemaRefs>
</ds:datastoreItem>
</file>

<file path=customXml/itemProps2.xml><?xml version="1.0" encoding="utf-8"?>
<ds:datastoreItem xmlns:ds="http://schemas.openxmlformats.org/officeDocument/2006/customXml" ds:itemID="{FBE088BE-F0E0-48A4-B5DA-94DFA4ADB2F2}">
  <ds:schemaRefs>
    <ds:schemaRef ds:uri="http://schemas.microsoft.com/office/2006/metadata/properties"/>
    <ds:schemaRef ds:uri="http://schemas.microsoft.com/office/infopath/2007/PartnerControls"/>
    <ds:schemaRef ds:uri="7acabab8-d213-4fa0-b202-a7928f5d4b81"/>
    <ds:schemaRef ds:uri="043f7a86-140f-4cc5-90a5-b64a6d077877"/>
  </ds:schemaRefs>
</ds:datastoreItem>
</file>

<file path=customXml/itemProps3.xml><?xml version="1.0" encoding="utf-8"?>
<ds:datastoreItem xmlns:ds="http://schemas.openxmlformats.org/officeDocument/2006/customXml" ds:itemID="{C6A1F0F0-6004-4760-B11B-61DE3061D4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acabab8-d213-4fa0-b202-a7928f5d4b81"/>
    <ds:schemaRef ds:uri="043f7a86-140f-4cc5-90a5-b64a6d0778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6</vt:i4>
      </vt:variant>
    </vt:vector>
  </HeadingPairs>
  <TitlesOfParts>
    <vt:vector size="6" baseType="lpstr">
      <vt:lpstr>【重要】始めにお読みください</vt:lpstr>
      <vt:lpstr>(A)広告・宣伝用</vt:lpstr>
      <vt:lpstr>(B)論文・書籍・技術解説用 _総括表</vt:lpstr>
      <vt:lpstr>(B)論文・書籍・技術解説用_個別確認</vt:lpstr>
      <vt:lpstr>(A)(B)共通</vt:lpstr>
      <vt:lpstr>改版履歴</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Aoi Funagoshi（舟越葵）</dc:creator>
  <cp:keywords/>
  <dc:description/>
  <cp:lastModifiedBy>Junji Uehara (上原　潤二)</cp:lastModifiedBy>
  <cp:revision/>
  <dcterms:created xsi:type="dcterms:W3CDTF">2024-08-01T08:31:34Z</dcterms:created>
  <dcterms:modified xsi:type="dcterms:W3CDTF">2026-06-05T09:09:04Z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bb4fa5d-3ac5-4415-967c-34900a0e1c6f_Enabled">
    <vt:lpwstr>true</vt:lpwstr>
  </property>
  <property fmtid="{D5CDD505-2E9C-101B-9397-08002B2CF9AE}" pid="3" name="MSIP_Label_dbb4fa5d-3ac5-4415-967c-34900a0e1c6f_SetDate">
    <vt:lpwstr>2024-08-01T08:32:39Z</vt:lpwstr>
  </property>
  <property fmtid="{D5CDD505-2E9C-101B-9397-08002B2CF9AE}" pid="4" name="MSIP_Label_dbb4fa5d-3ac5-4415-967c-34900a0e1c6f_Method">
    <vt:lpwstr>Privileged</vt:lpwstr>
  </property>
  <property fmtid="{D5CDD505-2E9C-101B-9397-08002B2CF9AE}" pid="5" name="MSIP_Label_dbb4fa5d-3ac5-4415-967c-34900a0e1c6f_Name">
    <vt:lpwstr>dbb4fa5d-3ac5-4415-967c-34900a0e1c6f</vt:lpwstr>
  </property>
  <property fmtid="{D5CDD505-2E9C-101B-9397-08002B2CF9AE}" pid="6" name="MSIP_Label_dbb4fa5d-3ac5-4415-967c-34900a0e1c6f_SiteId">
    <vt:lpwstr>a629ef32-67ba-47a6-8eb3-ec43935644fc</vt:lpwstr>
  </property>
  <property fmtid="{D5CDD505-2E9C-101B-9397-08002B2CF9AE}" pid="7" name="MSIP_Label_dbb4fa5d-3ac5-4415-967c-34900a0e1c6f_ActionId">
    <vt:lpwstr>bb7fa853-79c3-41ca-b147-9de09b2395ce</vt:lpwstr>
  </property>
  <property fmtid="{D5CDD505-2E9C-101B-9397-08002B2CF9AE}" pid="8" name="MSIP_Label_dbb4fa5d-3ac5-4415-967c-34900a0e1c6f_ContentBits">
    <vt:lpwstr>0</vt:lpwstr>
  </property>
  <property fmtid="{D5CDD505-2E9C-101B-9397-08002B2CF9AE}" pid="9" name="ContentTypeId">
    <vt:lpwstr>0x01010027BFA6B8B9CC4747AAF9752AFAD54A8B</vt:lpwstr>
  </property>
  <property fmtid="{D5CDD505-2E9C-101B-9397-08002B2CF9AE}" pid="10" name="MediaServiceImageTags">
    <vt:lpwstr/>
  </property>
</Properties>
</file>